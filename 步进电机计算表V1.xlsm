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CRP\DOC\随程序更新\"/>
    </mc:Choice>
  </mc:AlternateContent>
  <bookViews>
    <workbookView xWindow="0" yWindow="0" windowWidth="28800" windowHeight="12450" activeTab="3"/>
  </bookViews>
  <sheets>
    <sheet name="stepmoto1" sheetId="5" r:id="rId1"/>
    <sheet name="Sheet1" sheetId="6" r:id="rId2"/>
    <sheet name="横向运动" sheetId="10" r:id="rId3"/>
    <sheet name="上下运动" sheetId="11" r:id="rId4"/>
    <sheet name="注射器1" sheetId="8" r:id="rId5"/>
    <sheet name="注射器2" sheetId="7" r:id="rId6"/>
    <sheet name="蠕动泵1" sheetId="9" r:id="rId7"/>
  </sheets>
  <externalReferences>
    <externalReference r:id="rId8"/>
  </externalReferences>
  <definedNames>
    <definedName name="区内四">[1]区内四!$A$1:$P$43</definedName>
    <definedName name="区内一">[1]区内一!$A$1:$O$482</definedName>
  </definedNames>
  <calcPr calcId="152511"/>
</workbook>
</file>

<file path=xl/calcChain.xml><?xml version="1.0" encoding="utf-8"?>
<calcChain xmlns="http://schemas.openxmlformats.org/spreadsheetml/2006/main">
  <c r="C10" i="6" l="1"/>
  <c r="O5" i="6"/>
  <c r="B42" i="6"/>
  <c r="E42" i="6"/>
  <c r="B43" i="6"/>
  <c r="E43" i="6"/>
  <c r="C16" i="6"/>
  <c r="E40" i="6"/>
  <c r="B40" i="6"/>
  <c r="B41" i="6"/>
  <c r="E41" i="6"/>
  <c r="B39" i="6"/>
  <c r="B38" i="6"/>
  <c r="B37" i="6"/>
  <c r="E39" i="6"/>
  <c r="E38" i="6"/>
  <c r="E37" i="6"/>
  <c r="E8" i="6" l="1"/>
  <c r="C6" i="6"/>
  <c r="C11" i="6" s="1"/>
  <c r="I1" i="6" s="1"/>
  <c r="C4" i="6"/>
  <c r="I5" i="6" l="1"/>
  <c r="I6" i="6"/>
  <c r="E23" i="6"/>
  <c r="E22" i="6"/>
  <c r="I191" i="6"/>
  <c r="J191" i="6" s="1"/>
  <c r="J5" i="6"/>
  <c r="I123" i="6"/>
  <c r="J123" i="6" s="1"/>
  <c r="I127" i="6"/>
  <c r="J127" i="6" s="1"/>
  <c r="I59" i="6"/>
  <c r="J59" i="6" s="1"/>
  <c r="I43" i="6"/>
  <c r="J43" i="6" s="1"/>
  <c r="I107" i="6"/>
  <c r="J107" i="6" s="1"/>
  <c r="I187" i="6"/>
  <c r="J187" i="6" s="1"/>
  <c r="I63" i="6"/>
  <c r="J63" i="6" s="1"/>
  <c r="I11" i="6"/>
  <c r="J11" i="6" s="1"/>
  <c r="I75" i="6"/>
  <c r="J75" i="6" s="1"/>
  <c r="I146" i="6"/>
  <c r="J146" i="6" s="1"/>
  <c r="I15" i="6"/>
  <c r="J15" i="6" s="1"/>
  <c r="I79" i="6"/>
  <c r="J79" i="6" s="1"/>
  <c r="I147" i="6"/>
  <c r="J147" i="6" s="1"/>
  <c r="I27" i="6"/>
  <c r="J27" i="6" s="1"/>
  <c r="I91" i="6"/>
  <c r="J91" i="6" s="1"/>
  <c r="I167" i="6"/>
  <c r="J167" i="6" s="1"/>
  <c r="I31" i="6"/>
  <c r="J31" i="6" s="1"/>
  <c r="I95" i="6"/>
  <c r="J95" i="6" s="1"/>
  <c r="I170" i="6"/>
  <c r="J170" i="6" s="1"/>
  <c r="I47" i="6"/>
  <c r="J47" i="6" s="1"/>
  <c r="I111" i="6"/>
  <c r="J111" i="6" s="1"/>
  <c r="I201" i="6"/>
  <c r="J201" i="6" s="1"/>
  <c r="I193" i="6"/>
  <c r="J193" i="6" s="1"/>
  <c r="I185" i="6"/>
  <c r="J185" i="6" s="1"/>
  <c r="I177" i="6"/>
  <c r="J177" i="6" s="1"/>
  <c r="I169" i="6"/>
  <c r="J169" i="6" s="1"/>
  <c r="I161" i="6"/>
  <c r="J161" i="6" s="1"/>
  <c r="I153" i="6"/>
  <c r="J153" i="6" s="1"/>
  <c r="I145" i="6"/>
  <c r="J145" i="6" s="1"/>
  <c r="I137" i="6"/>
  <c r="J137" i="6" s="1"/>
  <c r="I129" i="6"/>
  <c r="J129" i="6" s="1"/>
  <c r="I121" i="6"/>
  <c r="J121" i="6" s="1"/>
  <c r="I113" i="6"/>
  <c r="J113" i="6" s="1"/>
  <c r="I105" i="6"/>
  <c r="J105" i="6" s="1"/>
  <c r="I97" i="6"/>
  <c r="J97" i="6" s="1"/>
  <c r="I89" i="6"/>
  <c r="J89" i="6" s="1"/>
  <c r="I81" i="6"/>
  <c r="J81" i="6" s="1"/>
  <c r="I73" i="6"/>
  <c r="J73" i="6" s="1"/>
  <c r="I65" i="6"/>
  <c r="J65" i="6" s="1"/>
  <c r="I57" i="6"/>
  <c r="J57" i="6" s="1"/>
  <c r="I49" i="6"/>
  <c r="J49" i="6" s="1"/>
  <c r="I41" i="6"/>
  <c r="J41" i="6" s="1"/>
  <c r="I33" i="6"/>
  <c r="J33" i="6" s="1"/>
  <c r="I25" i="6"/>
  <c r="J25" i="6" s="1"/>
  <c r="I17" i="6"/>
  <c r="J17" i="6" s="1"/>
  <c r="I9" i="6"/>
  <c r="J9" i="6" s="1"/>
  <c r="I200" i="6"/>
  <c r="J200" i="6" s="1"/>
  <c r="I192" i="6"/>
  <c r="J192" i="6" s="1"/>
  <c r="I184" i="6"/>
  <c r="J184" i="6" s="1"/>
  <c r="I176" i="6"/>
  <c r="J176" i="6" s="1"/>
  <c r="I168" i="6"/>
  <c r="J168" i="6" s="1"/>
  <c r="I160" i="6"/>
  <c r="J160" i="6" s="1"/>
  <c r="I152" i="6"/>
  <c r="J152" i="6" s="1"/>
  <c r="I144" i="6"/>
  <c r="J144" i="6" s="1"/>
  <c r="I136" i="6"/>
  <c r="J136" i="6" s="1"/>
  <c r="I128" i="6"/>
  <c r="J128" i="6" s="1"/>
  <c r="I198" i="6"/>
  <c r="J198" i="6" s="1"/>
  <c r="I190" i="6"/>
  <c r="J190" i="6" s="1"/>
  <c r="I182" i="6"/>
  <c r="J182" i="6" s="1"/>
  <c r="I174" i="6"/>
  <c r="J174" i="6" s="1"/>
  <c r="I166" i="6"/>
  <c r="J166" i="6" s="1"/>
  <c r="I158" i="6"/>
  <c r="J158" i="6" s="1"/>
  <c r="I150" i="6"/>
  <c r="J150" i="6" s="1"/>
  <c r="I142" i="6"/>
  <c r="J142" i="6" s="1"/>
  <c r="I134" i="6"/>
  <c r="J134" i="6" s="1"/>
  <c r="I126" i="6"/>
  <c r="J126" i="6" s="1"/>
  <c r="I118" i="6"/>
  <c r="J118" i="6" s="1"/>
  <c r="I110" i="6"/>
  <c r="J110" i="6" s="1"/>
  <c r="I102" i="6"/>
  <c r="J102" i="6" s="1"/>
  <c r="I94" i="6"/>
  <c r="J94" i="6" s="1"/>
  <c r="I86" i="6"/>
  <c r="J86" i="6" s="1"/>
  <c r="I78" i="6"/>
  <c r="J78" i="6" s="1"/>
  <c r="I70" i="6"/>
  <c r="J70" i="6" s="1"/>
  <c r="I62" i="6"/>
  <c r="J62" i="6" s="1"/>
  <c r="I54" i="6"/>
  <c r="J54" i="6" s="1"/>
  <c r="I46" i="6"/>
  <c r="J46" i="6" s="1"/>
  <c r="I38" i="6"/>
  <c r="J38" i="6" s="1"/>
  <c r="I30" i="6"/>
  <c r="J30" i="6" s="1"/>
  <c r="I22" i="6"/>
  <c r="J22" i="6" s="1"/>
  <c r="I14" i="6"/>
  <c r="J14" i="6" s="1"/>
  <c r="J6" i="6"/>
  <c r="I188" i="6"/>
  <c r="J188" i="6" s="1"/>
  <c r="I172" i="6"/>
  <c r="J172" i="6" s="1"/>
  <c r="I156" i="6"/>
  <c r="J156" i="6" s="1"/>
  <c r="I140" i="6"/>
  <c r="J140" i="6" s="1"/>
  <c r="I132" i="6"/>
  <c r="J132" i="6" s="1"/>
  <c r="I116" i="6"/>
  <c r="J116" i="6" s="1"/>
  <c r="I100" i="6"/>
  <c r="J100" i="6" s="1"/>
  <c r="I84" i="6"/>
  <c r="J84" i="6" s="1"/>
  <c r="I68" i="6"/>
  <c r="J68" i="6" s="1"/>
  <c r="I52" i="6"/>
  <c r="J52" i="6" s="1"/>
  <c r="I36" i="6"/>
  <c r="J36" i="6" s="1"/>
  <c r="I20" i="6"/>
  <c r="J20" i="6" s="1"/>
  <c r="I12" i="6"/>
  <c r="J12" i="6" s="1"/>
  <c r="I197" i="6"/>
  <c r="J197" i="6" s="1"/>
  <c r="I189" i="6"/>
  <c r="J189" i="6" s="1"/>
  <c r="I181" i="6"/>
  <c r="J181" i="6" s="1"/>
  <c r="I173" i="6"/>
  <c r="J173" i="6" s="1"/>
  <c r="I165" i="6"/>
  <c r="J165" i="6" s="1"/>
  <c r="I157" i="6"/>
  <c r="J157" i="6" s="1"/>
  <c r="I149" i="6"/>
  <c r="J149" i="6" s="1"/>
  <c r="I141" i="6"/>
  <c r="J141" i="6" s="1"/>
  <c r="I133" i="6"/>
  <c r="J133" i="6" s="1"/>
  <c r="I125" i="6"/>
  <c r="J125" i="6" s="1"/>
  <c r="I117" i="6"/>
  <c r="J117" i="6" s="1"/>
  <c r="I109" i="6"/>
  <c r="J109" i="6" s="1"/>
  <c r="I101" i="6"/>
  <c r="J101" i="6" s="1"/>
  <c r="I93" i="6"/>
  <c r="J93" i="6" s="1"/>
  <c r="I85" i="6"/>
  <c r="J85" i="6" s="1"/>
  <c r="I77" i="6"/>
  <c r="J77" i="6" s="1"/>
  <c r="I69" i="6"/>
  <c r="J69" i="6" s="1"/>
  <c r="I61" i="6"/>
  <c r="J61" i="6" s="1"/>
  <c r="I53" i="6"/>
  <c r="J53" i="6" s="1"/>
  <c r="I45" i="6"/>
  <c r="J45" i="6" s="1"/>
  <c r="I37" i="6"/>
  <c r="J37" i="6" s="1"/>
  <c r="I29" i="6"/>
  <c r="J29" i="6" s="1"/>
  <c r="I21" i="6"/>
  <c r="J21" i="6" s="1"/>
  <c r="I13" i="6"/>
  <c r="J13" i="6" s="1"/>
  <c r="I204" i="6"/>
  <c r="J204" i="6" s="1"/>
  <c r="I196" i="6"/>
  <c r="J196" i="6" s="1"/>
  <c r="I180" i="6"/>
  <c r="J180" i="6" s="1"/>
  <c r="I164" i="6"/>
  <c r="J164" i="6" s="1"/>
  <c r="I148" i="6"/>
  <c r="J148" i="6" s="1"/>
  <c r="I124" i="6"/>
  <c r="J124" i="6" s="1"/>
  <c r="I108" i="6"/>
  <c r="J108" i="6" s="1"/>
  <c r="I92" i="6"/>
  <c r="J92" i="6" s="1"/>
  <c r="I76" i="6"/>
  <c r="J76" i="6" s="1"/>
  <c r="I60" i="6"/>
  <c r="J60" i="6" s="1"/>
  <c r="I44" i="6"/>
  <c r="J44" i="6" s="1"/>
  <c r="I28" i="6"/>
  <c r="J28" i="6" s="1"/>
  <c r="I16" i="6"/>
  <c r="J16" i="6" s="1"/>
  <c r="I32" i="6"/>
  <c r="J32" i="6" s="1"/>
  <c r="I48" i="6"/>
  <c r="J48" i="6" s="1"/>
  <c r="I64" i="6"/>
  <c r="J64" i="6" s="1"/>
  <c r="I80" i="6"/>
  <c r="J80" i="6" s="1"/>
  <c r="I96" i="6"/>
  <c r="J96" i="6" s="1"/>
  <c r="I112" i="6"/>
  <c r="J112" i="6" s="1"/>
  <c r="I130" i="6"/>
  <c r="J130" i="6" s="1"/>
  <c r="I151" i="6"/>
  <c r="J151" i="6" s="1"/>
  <c r="I171" i="6"/>
  <c r="J171" i="6" s="1"/>
  <c r="I194" i="6"/>
  <c r="J194" i="6" s="1"/>
  <c r="I18" i="6"/>
  <c r="J18" i="6" s="1"/>
  <c r="I34" i="6"/>
  <c r="J34" i="6" s="1"/>
  <c r="I50" i="6"/>
  <c r="J50" i="6" s="1"/>
  <c r="I66" i="6"/>
  <c r="J66" i="6" s="1"/>
  <c r="I82" i="6"/>
  <c r="J82" i="6" s="1"/>
  <c r="I98" i="6"/>
  <c r="J98" i="6" s="1"/>
  <c r="I114" i="6"/>
  <c r="J114" i="6" s="1"/>
  <c r="I131" i="6"/>
  <c r="J131" i="6" s="1"/>
  <c r="I154" i="6"/>
  <c r="J154" i="6" s="1"/>
  <c r="I175" i="6"/>
  <c r="J175" i="6" s="1"/>
  <c r="I195" i="6"/>
  <c r="J195" i="6" s="1"/>
  <c r="I19" i="6"/>
  <c r="J19" i="6" s="1"/>
  <c r="I35" i="6"/>
  <c r="J35" i="6" s="1"/>
  <c r="I51" i="6"/>
  <c r="J51" i="6" s="1"/>
  <c r="I67" i="6"/>
  <c r="J67" i="6" s="1"/>
  <c r="I83" i="6"/>
  <c r="J83" i="6" s="1"/>
  <c r="I99" i="6"/>
  <c r="J99" i="6" s="1"/>
  <c r="I115" i="6"/>
  <c r="J115" i="6" s="1"/>
  <c r="I135" i="6"/>
  <c r="J135" i="6" s="1"/>
  <c r="I155" i="6"/>
  <c r="J155" i="6" s="1"/>
  <c r="I178" i="6"/>
  <c r="J178" i="6" s="1"/>
  <c r="I199" i="6"/>
  <c r="J199" i="6" s="1"/>
  <c r="I7" i="6"/>
  <c r="J7" i="6" s="1"/>
  <c r="I23" i="6"/>
  <c r="J23" i="6" s="1"/>
  <c r="I39" i="6"/>
  <c r="J39" i="6" s="1"/>
  <c r="I55" i="6"/>
  <c r="J55" i="6" s="1"/>
  <c r="I71" i="6"/>
  <c r="J71" i="6" s="1"/>
  <c r="I87" i="6"/>
  <c r="J87" i="6" s="1"/>
  <c r="I103" i="6"/>
  <c r="J103" i="6" s="1"/>
  <c r="I119" i="6"/>
  <c r="J119" i="6" s="1"/>
  <c r="I138" i="6"/>
  <c r="J138" i="6" s="1"/>
  <c r="I159" i="6"/>
  <c r="J159" i="6" s="1"/>
  <c r="I179" i="6"/>
  <c r="J179" i="6" s="1"/>
  <c r="I202" i="6"/>
  <c r="J202" i="6" s="1"/>
  <c r="I56" i="6"/>
  <c r="J56" i="6" s="1"/>
  <c r="I120" i="6"/>
  <c r="J120" i="6" s="1"/>
  <c r="I183" i="6"/>
  <c r="J183" i="6" s="1"/>
  <c r="I203" i="6"/>
  <c r="J203" i="6" s="1"/>
  <c r="I8" i="6"/>
  <c r="J8" i="6" s="1"/>
  <c r="I24" i="6"/>
  <c r="J24" i="6" s="1"/>
  <c r="I40" i="6"/>
  <c r="J40" i="6" s="1"/>
  <c r="I72" i="6"/>
  <c r="J72" i="6" s="1"/>
  <c r="I88" i="6"/>
  <c r="J88" i="6" s="1"/>
  <c r="I104" i="6"/>
  <c r="J104" i="6" s="1"/>
  <c r="I139" i="6"/>
  <c r="J139" i="6" s="1"/>
  <c r="I162" i="6"/>
  <c r="J162" i="6" s="1"/>
  <c r="I10" i="6"/>
  <c r="J10" i="6" s="1"/>
  <c r="I26" i="6"/>
  <c r="J26" i="6" s="1"/>
  <c r="I42" i="6"/>
  <c r="J42" i="6" s="1"/>
  <c r="I58" i="6"/>
  <c r="J58" i="6" s="1"/>
  <c r="I74" i="6"/>
  <c r="J74" i="6" s="1"/>
  <c r="I90" i="6"/>
  <c r="J90" i="6" s="1"/>
  <c r="I106" i="6"/>
  <c r="J106" i="6" s="1"/>
  <c r="I122" i="6"/>
  <c r="J122" i="6" s="1"/>
  <c r="I143" i="6"/>
  <c r="J143" i="6" s="1"/>
  <c r="I163" i="6"/>
  <c r="J163" i="6" s="1"/>
  <c r="I186" i="6"/>
  <c r="J186" i="6" s="1"/>
  <c r="C13" i="6"/>
  <c r="E13" i="6" s="1"/>
  <c r="C20" i="6"/>
  <c r="C35" i="5"/>
  <c r="E38" i="5"/>
  <c r="E37" i="5"/>
  <c r="E36" i="5"/>
  <c r="E34" i="5"/>
  <c r="C14" i="6" l="1"/>
  <c r="E21" i="6"/>
  <c r="E8" i="5"/>
  <c r="C4" i="5"/>
  <c r="C6" i="5" s="1"/>
  <c r="C20" i="5" l="1"/>
  <c r="C11" i="5"/>
  <c r="C10" i="5"/>
  <c r="C14" i="5"/>
  <c r="C16" i="5" l="1"/>
  <c r="C15" i="5"/>
  <c r="C34" i="5"/>
  <c r="O401" i="5"/>
  <c r="O393" i="5"/>
  <c r="O385" i="5"/>
  <c r="O377" i="5"/>
  <c r="O369" i="5"/>
  <c r="O361" i="5"/>
  <c r="O353" i="5"/>
  <c r="O345" i="5"/>
  <c r="O337" i="5"/>
  <c r="O329" i="5"/>
  <c r="O321" i="5"/>
  <c r="O313" i="5"/>
  <c r="O305" i="5"/>
  <c r="O297" i="5"/>
  <c r="O289" i="5"/>
  <c r="O281" i="5"/>
  <c r="O273" i="5"/>
  <c r="O265" i="5"/>
  <c r="O257" i="5"/>
  <c r="O249" i="5"/>
  <c r="O241" i="5"/>
  <c r="O233" i="5"/>
  <c r="O225" i="5"/>
  <c r="O217" i="5"/>
  <c r="O209" i="5"/>
  <c r="O201" i="5"/>
  <c r="O193" i="5"/>
  <c r="O185" i="5"/>
  <c r="O177" i="5"/>
  <c r="O169" i="5"/>
  <c r="O161" i="5"/>
  <c r="O153" i="5"/>
  <c r="O145" i="5"/>
  <c r="O137" i="5"/>
  <c r="O129" i="5"/>
  <c r="O121" i="5"/>
  <c r="O113" i="5"/>
  <c r="O105" i="5"/>
  <c r="O97" i="5"/>
  <c r="O89" i="5"/>
  <c r="O81" i="5"/>
  <c r="O73" i="5"/>
  <c r="O65" i="5"/>
  <c r="O57" i="5"/>
  <c r="O49" i="5"/>
  <c r="O41" i="5"/>
  <c r="O33" i="5"/>
  <c r="O25" i="5"/>
  <c r="O17" i="5"/>
  <c r="O9" i="5"/>
  <c r="O399" i="5"/>
  <c r="O390" i="5"/>
  <c r="O381" i="5"/>
  <c r="O372" i="5"/>
  <c r="O363" i="5"/>
  <c r="O354" i="5"/>
  <c r="O344" i="5"/>
  <c r="O391" i="5"/>
  <c r="O380" i="5"/>
  <c r="O370" i="5"/>
  <c r="O359" i="5"/>
  <c r="O349" i="5"/>
  <c r="O339" i="5"/>
  <c r="O330" i="5"/>
  <c r="O320" i="5"/>
  <c r="O311" i="5"/>
  <c r="O302" i="5"/>
  <c r="O293" i="5"/>
  <c r="O284" i="5"/>
  <c r="O275" i="5"/>
  <c r="O266" i="5"/>
  <c r="O256" i="5"/>
  <c r="O247" i="5"/>
  <c r="O238" i="5"/>
  <c r="O229" i="5"/>
  <c r="O220" i="5"/>
  <c r="O211" i="5"/>
  <c r="O202" i="5"/>
  <c r="O192" i="5"/>
  <c r="O183" i="5"/>
  <c r="O174" i="5"/>
  <c r="O165" i="5"/>
  <c r="O156" i="5"/>
  <c r="O147" i="5"/>
  <c r="O138" i="5"/>
  <c r="O128" i="5"/>
  <c r="O119" i="5"/>
  <c r="O110" i="5"/>
  <c r="O101" i="5"/>
  <c r="O92" i="5"/>
  <c r="O83" i="5"/>
  <c r="O74" i="5"/>
  <c r="O64" i="5"/>
  <c r="O55" i="5"/>
  <c r="O46" i="5"/>
  <c r="O37" i="5"/>
  <c r="O28" i="5"/>
  <c r="O19" i="5"/>
  <c r="O10" i="5"/>
  <c r="O396" i="5"/>
  <c r="O384" i="5"/>
  <c r="O373" i="5"/>
  <c r="O360" i="5"/>
  <c r="O348" i="5"/>
  <c r="O336" i="5"/>
  <c r="O326" i="5"/>
  <c r="O316" i="5"/>
  <c r="O306" i="5"/>
  <c r="O295" i="5"/>
  <c r="O285" i="5"/>
  <c r="O274" i="5"/>
  <c r="O263" i="5"/>
  <c r="O253" i="5"/>
  <c r="O243" i="5"/>
  <c r="O232" i="5"/>
  <c r="O222" i="5"/>
  <c r="O212" i="5"/>
  <c r="O200" i="5"/>
  <c r="O190" i="5"/>
  <c r="O180" i="5"/>
  <c r="O170" i="5"/>
  <c r="O159" i="5"/>
  <c r="O149" i="5"/>
  <c r="O139" i="5"/>
  <c r="O127" i="5"/>
  <c r="O117" i="5"/>
  <c r="O107" i="5"/>
  <c r="O96" i="5"/>
  <c r="O86" i="5"/>
  <c r="O76" i="5"/>
  <c r="O66" i="5"/>
  <c r="O54" i="5"/>
  <c r="O44" i="5"/>
  <c r="O34" i="5"/>
  <c r="O23" i="5"/>
  <c r="O13" i="5"/>
  <c r="O3" i="5"/>
  <c r="O395" i="5"/>
  <c r="O383" i="5"/>
  <c r="O371" i="5"/>
  <c r="O358" i="5"/>
  <c r="O347" i="5"/>
  <c r="O335" i="5"/>
  <c r="O325" i="5"/>
  <c r="O315" i="5"/>
  <c r="O304" i="5"/>
  <c r="O294" i="5"/>
  <c r="O283" i="5"/>
  <c r="O272" i="5"/>
  <c r="O262" i="5"/>
  <c r="O252" i="5"/>
  <c r="O242" i="5"/>
  <c r="O231" i="5"/>
  <c r="O221" i="5"/>
  <c r="O210" i="5"/>
  <c r="O199" i="5"/>
  <c r="O189" i="5"/>
  <c r="O179" i="5"/>
  <c r="O168" i="5"/>
  <c r="O158" i="5"/>
  <c r="O148" i="5"/>
  <c r="O136" i="5"/>
  <c r="O126" i="5"/>
  <c r="O116" i="5"/>
  <c r="O106" i="5"/>
  <c r="O95" i="5"/>
  <c r="O85" i="5"/>
  <c r="O75" i="5"/>
  <c r="O63" i="5"/>
  <c r="O53" i="5"/>
  <c r="O43" i="5"/>
  <c r="O32" i="5"/>
  <c r="O22" i="5"/>
  <c r="O12" i="5"/>
  <c r="O2" i="5"/>
  <c r="O392" i="5"/>
  <c r="O379" i="5"/>
  <c r="O367" i="5"/>
  <c r="O356" i="5"/>
  <c r="O343" i="5"/>
  <c r="O333" i="5"/>
  <c r="O323" i="5"/>
  <c r="O312" i="5"/>
  <c r="O301" i="5"/>
  <c r="O291" i="5"/>
  <c r="O280" i="5"/>
  <c r="O270" i="5"/>
  <c r="O260" i="5"/>
  <c r="O250" i="5"/>
  <c r="O239" i="5"/>
  <c r="O228" i="5"/>
  <c r="O218" i="5"/>
  <c r="O207" i="5"/>
  <c r="O197" i="5"/>
  <c r="O187" i="5"/>
  <c r="O176" i="5"/>
  <c r="O166" i="5"/>
  <c r="O155" i="5"/>
  <c r="O144" i="5"/>
  <c r="O134" i="5"/>
  <c r="O124" i="5"/>
  <c r="O114" i="5"/>
  <c r="O103" i="5"/>
  <c r="O93" i="5"/>
  <c r="O82" i="5"/>
  <c r="O71" i="5"/>
  <c r="O61" i="5"/>
  <c r="O51" i="5"/>
  <c r="O40" i="5"/>
  <c r="O30" i="5"/>
  <c r="O20" i="5"/>
  <c r="O8" i="5"/>
  <c r="O389" i="5"/>
  <c r="O378" i="5"/>
  <c r="O366" i="5"/>
  <c r="O355" i="5"/>
  <c r="O342" i="5"/>
  <c r="O332" i="5"/>
  <c r="O322" i="5"/>
  <c r="O310" i="5"/>
  <c r="O300" i="5"/>
  <c r="O290" i="5"/>
  <c r="O279" i="5"/>
  <c r="O269" i="5"/>
  <c r="O259" i="5"/>
  <c r="O248" i="5"/>
  <c r="O237" i="5"/>
  <c r="O227" i="5"/>
  <c r="O216" i="5"/>
  <c r="O206" i="5"/>
  <c r="O196" i="5"/>
  <c r="O186" i="5"/>
  <c r="O175" i="5"/>
  <c r="O164" i="5"/>
  <c r="O154" i="5"/>
  <c r="O143" i="5"/>
  <c r="O133" i="5"/>
  <c r="O123" i="5"/>
  <c r="O112" i="5"/>
  <c r="O102" i="5"/>
  <c r="O91" i="5"/>
  <c r="O80" i="5"/>
  <c r="O70" i="5"/>
  <c r="O60" i="5"/>
  <c r="O50" i="5"/>
  <c r="O39" i="5"/>
  <c r="O29" i="5"/>
  <c r="O18" i="5"/>
  <c r="O7" i="5"/>
  <c r="O400" i="5"/>
  <c r="O388" i="5"/>
  <c r="O376" i="5"/>
  <c r="O365" i="5"/>
  <c r="O352" i="5"/>
  <c r="O341" i="5"/>
  <c r="O331" i="5"/>
  <c r="O319" i="5"/>
  <c r="O309" i="5"/>
  <c r="O299" i="5"/>
  <c r="O288" i="5"/>
  <c r="O278" i="5"/>
  <c r="O268" i="5"/>
  <c r="O258" i="5"/>
  <c r="O246" i="5"/>
  <c r="O236" i="5"/>
  <c r="O226" i="5"/>
  <c r="O215" i="5"/>
  <c r="O205" i="5"/>
  <c r="O195" i="5"/>
  <c r="O184" i="5"/>
  <c r="O173" i="5"/>
  <c r="O163" i="5"/>
  <c r="O152" i="5"/>
  <c r="O142" i="5"/>
  <c r="O132" i="5"/>
  <c r="O122" i="5"/>
  <c r="O111" i="5"/>
  <c r="O100" i="5"/>
  <c r="O90" i="5"/>
  <c r="O79" i="5"/>
  <c r="O69" i="5"/>
  <c r="O59" i="5"/>
  <c r="O48" i="5"/>
  <c r="O38" i="5"/>
  <c r="O27" i="5"/>
  <c r="O16" i="5"/>
  <c r="O6" i="5"/>
  <c r="O398" i="5"/>
  <c r="O387" i="5"/>
  <c r="O375" i="5"/>
  <c r="O151" i="5"/>
  <c r="O14" i="5"/>
  <c r="O346" i="5"/>
  <c r="O287" i="5"/>
  <c r="O204" i="5"/>
  <c r="O150" i="5"/>
  <c r="O94" i="5"/>
  <c r="O36" i="5"/>
  <c r="O374" i="5"/>
  <c r="O340" i="5"/>
  <c r="O314" i="5"/>
  <c r="O286" i="5"/>
  <c r="O255" i="5"/>
  <c r="O230" i="5"/>
  <c r="O203" i="5"/>
  <c r="O172" i="5"/>
  <c r="O146" i="5"/>
  <c r="O118" i="5"/>
  <c r="O88" i="5"/>
  <c r="O62" i="5"/>
  <c r="O35" i="5"/>
  <c r="O5" i="5"/>
  <c r="O368" i="5"/>
  <c r="O338" i="5"/>
  <c r="O308" i="5"/>
  <c r="O282" i="5"/>
  <c r="O254" i="5"/>
  <c r="O224" i="5"/>
  <c r="O198" i="5"/>
  <c r="O171" i="5"/>
  <c r="O141" i="5"/>
  <c r="O115" i="5"/>
  <c r="O87" i="5"/>
  <c r="O58" i="5"/>
  <c r="O31" i="5"/>
  <c r="O4" i="5"/>
  <c r="O364" i="5"/>
  <c r="O334" i="5"/>
  <c r="O307" i="5"/>
  <c r="O277" i="5"/>
  <c r="O251" i="5"/>
  <c r="O223" i="5"/>
  <c r="O194" i="5"/>
  <c r="O167" i="5"/>
  <c r="O140" i="5"/>
  <c r="O109" i="5"/>
  <c r="O84" i="5"/>
  <c r="O56" i="5"/>
  <c r="O26" i="5"/>
  <c r="O362" i="5"/>
  <c r="O328" i="5"/>
  <c r="O303" i="5"/>
  <c r="O276" i="5"/>
  <c r="O245" i="5"/>
  <c r="O219" i="5"/>
  <c r="O191" i="5"/>
  <c r="O162" i="5"/>
  <c r="O135" i="5"/>
  <c r="O108" i="5"/>
  <c r="O78" i="5"/>
  <c r="O52" i="5"/>
  <c r="O24" i="5"/>
  <c r="O397" i="5"/>
  <c r="O357" i="5"/>
  <c r="O327" i="5"/>
  <c r="O298" i="5"/>
  <c r="O271" i="5"/>
  <c r="O244" i="5"/>
  <c r="O214" i="5"/>
  <c r="O188" i="5"/>
  <c r="O160" i="5"/>
  <c r="O131" i="5"/>
  <c r="O104" i="5"/>
  <c r="O77" i="5"/>
  <c r="O47" i="5"/>
  <c r="O21" i="5"/>
  <c r="O394" i="5"/>
  <c r="O351" i="5"/>
  <c r="O324" i="5"/>
  <c r="O296" i="5"/>
  <c r="O267" i="5"/>
  <c r="O240" i="5"/>
  <c r="O213" i="5"/>
  <c r="O182" i="5"/>
  <c r="O157" i="5"/>
  <c r="O130" i="5"/>
  <c r="O99" i="5"/>
  <c r="O72" i="5"/>
  <c r="O45" i="5"/>
  <c r="O15" i="5"/>
  <c r="O386" i="5"/>
  <c r="O350" i="5"/>
  <c r="O318" i="5"/>
  <c r="O292" i="5"/>
  <c r="O264" i="5"/>
  <c r="O235" i="5"/>
  <c r="O208" i="5"/>
  <c r="O181" i="5"/>
  <c r="O125" i="5"/>
  <c r="O98" i="5"/>
  <c r="O68" i="5"/>
  <c r="O42" i="5"/>
  <c r="O382" i="5"/>
  <c r="O317" i="5"/>
  <c r="O261" i="5"/>
  <c r="O234" i="5"/>
  <c r="O178" i="5"/>
  <c r="O120" i="5"/>
  <c r="O67" i="5"/>
  <c r="O11" i="5"/>
  <c r="C13" i="5"/>
  <c r="E13" i="5" s="1"/>
  <c r="E21" i="5"/>
  <c r="E22" i="5"/>
  <c r="E23" i="5"/>
  <c r="P395" i="5"/>
  <c r="P387" i="5"/>
  <c r="P379" i="5"/>
  <c r="P371" i="5"/>
  <c r="P363" i="5"/>
  <c r="P355" i="5"/>
  <c r="P347" i="5"/>
  <c r="P339" i="5"/>
  <c r="P331" i="5"/>
  <c r="P323" i="5"/>
  <c r="P315" i="5"/>
  <c r="P307" i="5"/>
  <c r="P299" i="5"/>
  <c r="P291" i="5"/>
  <c r="P283" i="5"/>
  <c r="P275" i="5"/>
  <c r="P267" i="5"/>
  <c r="P259" i="5"/>
  <c r="P251" i="5"/>
  <c r="P243" i="5"/>
  <c r="P235" i="5"/>
  <c r="P227" i="5"/>
  <c r="P219" i="5"/>
  <c r="P211" i="5"/>
  <c r="Q2" i="5"/>
  <c r="P394" i="5"/>
  <c r="P386" i="5"/>
  <c r="P378" i="5"/>
  <c r="P370" i="5"/>
  <c r="P362" i="5"/>
  <c r="P354" i="5"/>
  <c r="P346" i="5"/>
  <c r="P338" i="5"/>
  <c r="P330" i="5"/>
  <c r="P322" i="5"/>
  <c r="P314" i="5"/>
  <c r="P306" i="5"/>
  <c r="P298" i="5"/>
  <c r="P290" i="5"/>
  <c r="P282" i="5"/>
  <c r="P274" i="5"/>
  <c r="P266" i="5"/>
  <c r="P258" i="5"/>
  <c r="P250" i="5"/>
  <c r="P242" i="5"/>
  <c r="P234" i="5"/>
  <c r="P226" i="5"/>
  <c r="P218" i="5"/>
  <c r="P210" i="5"/>
  <c r="P401" i="5"/>
  <c r="P393" i="5"/>
  <c r="P385" i="5"/>
  <c r="P377" i="5"/>
  <c r="P369" i="5"/>
  <c r="P361" i="5"/>
  <c r="P353" i="5"/>
  <c r="P345" i="5"/>
  <c r="P337" i="5"/>
  <c r="P329" i="5"/>
  <c r="P321" i="5"/>
  <c r="P313" i="5"/>
  <c r="P305" i="5"/>
  <c r="P297" i="5"/>
  <c r="P289" i="5"/>
  <c r="P281" i="5"/>
  <c r="P273" i="5"/>
  <c r="P265" i="5"/>
  <c r="P257" i="5"/>
  <c r="P249" i="5"/>
  <c r="P241" i="5"/>
  <c r="P233" i="5"/>
  <c r="P225" i="5"/>
  <c r="P217" i="5"/>
  <c r="P209" i="5"/>
  <c r="P201" i="5"/>
  <c r="P193" i="5"/>
  <c r="P185" i="5"/>
  <c r="P177" i="5"/>
  <c r="P169" i="5"/>
  <c r="P161" i="5"/>
  <c r="P153" i="5"/>
  <c r="P145" i="5"/>
  <c r="P137" i="5"/>
  <c r="P129" i="5"/>
  <c r="P397" i="5"/>
  <c r="P383" i="5"/>
  <c r="P372" i="5"/>
  <c r="P358" i="5"/>
  <c r="P344" i="5"/>
  <c r="P333" i="5"/>
  <c r="P319" i="5"/>
  <c r="P308" i="5"/>
  <c r="P294" i="5"/>
  <c r="P280" i="5"/>
  <c r="P269" i="5"/>
  <c r="P255" i="5"/>
  <c r="P244" i="5"/>
  <c r="P230" i="5"/>
  <c r="P216" i="5"/>
  <c r="P205" i="5"/>
  <c r="P196" i="5"/>
  <c r="P187" i="5"/>
  <c r="P178" i="5"/>
  <c r="P168" i="5"/>
  <c r="P159" i="5"/>
  <c r="P150" i="5"/>
  <c r="P141" i="5"/>
  <c r="P132" i="5"/>
  <c r="P123" i="5"/>
  <c r="P115" i="5"/>
  <c r="P107" i="5"/>
  <c r="P99" i="5"/>
  <c r="P91" i="5"/>
  <c r="P83" i="5"/>
  <c r="P75" i="5"/>
  <c r="P67" i="5"/>
  <c r="P59" i="5"/>
  <c r="P51" i="5"/>
  <c r="P43" i="5"/>
  <c r="P35" i="5"/>
  <c r="P27" i="5"/>
  <c r="P19" i="5"/>
  <c r="P11" i="5"/>
  <c r="P3" i="5"/>
  <c r="P398" i="5"/>
  <c r="P382" i="5"/>
  <c r="P367" i="5"/>
  <c r="P352" i="5"/>
  <c r="P340" i="5"/>
  <c r="P325" i="5"/>
  <c r="P310" i="5"/>
  <c r="P295" i="5"/>
  <c r="P279" i="5"/>
  <c r="P264" i="5"/>
  <c r="P252" i="5"/>
  <c r="P237" i="5"/>
  <c r="P222" i="5"/>
  <c r="P207" i="5"/>
  <c r="P197" i="5"/>
  <c r="P186" i="5"/>
  <c r="P175" i="5"/>
  <c r="P165" i="5"/>
  <c r="P155" i="5"/>
  <c r="P144" i="5"/>
  <c r="P134" i="5"/>
  <c r="P124" i="5"/>
  <c r="P114" i="5"/>
  <c r="P105" i="5"/>
  <c r="P96" i="5"/>
  <c r="P87" i="5"/>
  <c r="P78" i="5"/>
  <c r="P69" i="5"/>
  <c r="P60" i="5"/>
  <c r="P50" i="5"/>
  <c r="P41" i="5"/>
  <c r="P32" i="5"/>
  <c r="P23" i="5"/>
  <c r="P14" i="5"/>
  <c r="P5" i="5"/>
  <c r="P396" i="5"/>
  <c r="P381" i="5"/>
  <c r="P366" i="5"/>
  <c r="P351" i="5"/>
  <c r="P336" i="5"/>
  <c r="P324" i="5"/>
  <c r="P309" i="5"/>
  <c r="P293" i="5"/>
  <c r="P278" i="5"/>
  <c r="P263" i="5"/>
  <c r="P248" i="5"/>
  <c r="P236" i="5"/>
  <c r="P221" i="5"/>
  <c r="P206" i="5"/>
  <c r="P195" i="5"/>
  <c r="P184" i="5"/>
  <c r="P174" i="5"/>
  <c r="P164" i="5"/>
  <c r="P154" i="5"/>
  <c r="P143" i="5"/>
  <c r="P133" i="5"/>
  <c r="P122" i="5"/>
  <c r="P113" i="5"/>
  <c r="P104" i="5"/>
  <c r="P95" i="5"/>
  <c r="P86" i="5"/>
  <c r="P77" i="5"/>
  <c r="P68" i="5"/>
  <c r="P58" i="5"/>
  <c r="P49" i="5"/>
  <c r="P40" i="5"/>
  <c r="P31" i="5"/>
  <c r="P22" i="5"/>
  <c r="P13" i="5"/>
  <c r="P4" i="5"/>
  <c r="P389" i="5"/>
  <c r="P374" i="5"/>
  <c r="P359" i="5"/>
  <c r="P343" i="5"/>
  <c r="P328" i="5"/>
  <c r="P316" i="5"/>
  <c r="P301" i="5"/>
  <c r="P286" i="5"/>
  <c r="P271" i="5"/>
  <c r="P256" i="5"/>
  <c r="P240" i="5"/>
  <c r="P228" i="5"/>
  <c r="P213" i="5"/>
  <c r="P200" i="5"/>
  <c r="P190" i="5"/>
  <c r="P180" i="5"/>
  <c r="P170" i="5"/>
  <c r="P158" i="5"/>
  <c r="P148" i="5"/>
  <c r="P138" i="5"/>
  <c r="P127" i="5"/>
  <c r="P118" i="5"/>
  <c r="P109" i="5"/>
  <c r="P100" i="5"/>
  <c r="P90" i="5"/>
  <c r="P81" i="5"/>
  <c r="P72" i="5"/>
  <c r="P63" i="5"/>
  <c r="P54" i="5"/>
  <c r="P45" i="5"/>
  <c r="P36" i="5"/>
  <c r="P26" i="5"/>
  <c r="P17" i="5"/>
  <c r="P8" i="5"/>
  <c r="P400" i="5"/>
  <c r="P376" i="5"/>
  <c r="P356" i="5"/>
  <c r="P332" i="5"/>
  <c r="P304" i="5"/>
  <c r="P285" i="5"/>
  <c r="P261" i="5"/>
  <c r="P238" i="5"/>
  <c r="P214" i="5"/>
  <c r="P194" i="5"/>
  <c r="P179" i="5"/>
  <c r="P162" i="5"/>
  <c r="P146" i="5"/>
  <c r="P128" i="5"/>
  <c r="P112" i="5"/>
  <c r="P98" i="5"/>
  <c r="P84" i="5"/>
  <c r="P70" i="5"/>
  <c r="P55" i="5"/>
  <c r="P39" i="5"/>
  <c r="P25" i="5"/>
  <c r="P10" i="5"/>
  <c r="P388" i="5"/>
  <c r="P360" i="5"/>
  <c r="P334" i="5"/>
  <c r="P303" i="5"/>
  <c r="P277" i="5"/>
  <c r="P253" i="5"/>
  <c r="P224" i="5"/>
  <c r="P202" i="5"/>
  <c r="P182" i="5"/>
  <c r="P163" i="5"/>
  <c r="P142" i="5"/>
  <c r="P125" i="5"/>
  <c r="P108" i="5"/>
  <c r="P92" i="5"/>
  <c r="P74" i="5"/>
  <c r="P57" i="5"/>
  <c r="P42" i="5"/>
  <c r="P24" i="5"/>
  <c r="P7" i="5"/>
  <c r="P384" i="5"/>
  <c r="P357" i="5"/>
  <c r="P327" i="5"/>
  <c r="P302" i="5"/>
  <c r="P276" i="5"/>
  <c r="P247" i="5"/>
  <c r="P223" i="5"/>
  <c r="P199" i="5"/>
  <c r="P181" i="5"/>
  <c r="P160" i="5"/>
  <c r="P140" i="5"/>
  <c r="P121" i="5"/>
  <c r="P106" i="5"/>
  <c r="P89" i="5"/>
  <c r="P73" i="5"/>
  <c r="P56" i="5"/>
  <c r="P38" i="5"/>
  <c r="P21" i="5"/>
  <c r="P6" i="5"/>
  <c r="P375" i="5"/>
  <c r="P349" i="5"/>
  <c r="P320" i="5"/>
  <c r="P296" i="5"/>
  <c r="P270" i="5"/>
  <c r="P245" i="5"/>
  <c r="P215" i="5"/>
  <c r="P192" i="5"/>
  <c r="P173" i="5"/>
  <c r="P156" i="5"/>
  <c r="P136" i="5"/>
  <c r="P119" i="5"/>
  <c r="P102" i="5"/>
  <c r="P85" i="5"/>
  <c r="P66" i="5"/>
  <c r="P52" i="5"/>
  <c r="P34" i="5"/>
  <c r="P18" i="5"/>
  <c r="P399" i="5"/>
  <c r="P373" i="5"/>
  <c r="P348" i="5"/>
  <c r="P318" i="5"/>
  <c r="P292" i="5"/>
  <c r="P268" i="5"/>
  <c r="P239" i="5"/>
  <c r="P212" i="5"/>
  <c r="P191" i="5"/>
  <c r="P172" i="5"/>
  <c r="P152" i="5"/>
  <c r="P135" i="5"/>
  <c r="P117" i="5"/>
  <c r="P101" i="5"/>
  <c r="P82" i="5"/>
  <c r="P65" i="5"/>
  <c r="P48" i="5"/>
  <c r="P33" i="5"/>
  <c r="P16" i="5"/>
  <c r="P380" i="5"/>
  <c r="P326" i="5"/>
  <c r="P272" i="5"/>
  <c r="P220" i="5"/>
  <c r="P176" i="5"/>
  <c r="P139" i="5"/>
  <c r="P103" i="5"/>
  <c r="P71" i="5"/>
  <c r="P37" i="5"/>
  <c r="P2" i="5"/>
  <c r="P365" i="5"/>
  <c r="P260" i="5"/>
  <c r="P167" i="5"/>
  <c r="P94" i="5"/>
  <c r="P368" i="5"/>
  <c r="P317" i="5"/>
  <c r="P262" i="5"/>
  <c r="P208" i="5"/>
  <c r="P171" i="5"/>
  <c r="P131" i="5"/>
  <c r="P97" i="5"/>
  <c r="P64" i="5"/>
  <c r="P30" i="5"/>
  <c r="P312" i="5"/>
  <c r="P204" i="5"/>
  <c r="P130" i="5"/>
  <c r="P364" i="5"/>
  <c r="P311" i="5"/>
  <c r="P254" i="5"/>
  <c r="P203" i="5"/>
  <c r="P166" i="5"/>
  <c r="P126" i="5"/>
  <c r="P93" i="5"/>
  <c r="P61" i="5"/>
  <c r="P28" i="5"/>
  <c r="P350" i="5"/>
  <c r="P300" i="5"/>
  <c r="P246" i="5"/>
  <c r="P198" i="5"/>
  <c r="P157" i="5"/>
  <c r="P120" i="5"/>
  <c r="P88" i="5"/>
  <c r="P53" i="5"/>
  <c r="P20" i="5"/>
  <c r="P392" i="5"/>
  <c r="P342" i="5"/>
  <c r="P288" i="5"/>
  <c r="P232" i="5"/>
  <c r="P189" i="5"/>
  <c r="P151" i="5"/>
  <c r="P116" i="5"/>
  <c r="P80" i="5"/>
  <c r="P47" i="5"/>
  <c r="P15" i="5"/>
  <c r="P391" i="5"/>
  <c r="P341" i="5"/>
  <c r="P287" i="5"/>
  <c r="P231" i="5"/>
  <c r="P188" i="5"/>
  <c r="P149" i="5"/>
  <c r="P111" i="5"/>
  <c r="P79" i="5"/>
  <c r="P46" i="5"/>
  <c r="P12" i="5"/>
  <c r="P110" i="5"/>
  <c r="P76" i="5"/>
  <c r="P390" i="5"/>
  <c r="P62" i="5"/>
  <c r="P335" i="5"/>
  <c r="P44" i="5"/>
  <c r="P284" i="5"/>
  <c r="P29" i="5"/>
  <c r="P229" i="5"/>
  <c r="P9" i="5"/>
  <c r="P183" i="5"/>
  <c r="P147" i="5"/>
  <c r="Q401" i="5"/>
  <c r="Q393" i="5"/>
  <c r="Q385" i="5"/>
  <c r="Q377" i="5"/>
  <c r="Q369" i="5"/>
  <c r="Q361" i="5"/>
  <c r="Q353" i="5"/>
  <c r="Q345" i="5"/>
  <c r="Q337" i="5"/>
  <c r="Q329" i="5"/>
  <c r="Q321" i="5"/>
  <c r="Q313" i="5"/>
  <c r="Q305" i="5"/>
  <c r="Q297" i="5"/>
  <c r="Q289" i="5"/>
  <c r="Q281" i="5"/>
  <c r="Q273" i="5"/>
  <c r="Q265" i="5"/>
  <c r="Q257" i="5"/>
  <c r="Q249" i="5"/>
  <c r="Q241" i="5"/>
  <c r="Q233" i="5"/>
  <c r="Q225" i="5"/>
  <c r="Q217" i="5"/>
  <c r="Q209" i="5"/>
  <c r="Q201" i="5"/>
  <c r="Q193" i="5"/>
  <c r="Q185" i="5"/>
  <c r="Q177" i="5"/>
  <c r="Q169" i="5"/>
  <c r="Q161" i="5"/>
  <c r="Q153" i="5"/>
  <c r="Q145" i="5"/>
  <c r="Q137" i="5"/>
  <c r="Q129" i="5"/>
  <c r="Q400" i="5"/>
  <c r="Q392" i="5"/>
  <c r="Q384" i="5"/>
  <c r="Q376" i="5"/>
  <c r="Q368" i="5"/>
  <c r="Q360" i="5"/>
  <c r="Q352" i="5"/>
  <c r="Q344" i="5"/>
  <c r="Q336" i="5"/>
  <c r="Q328" i="5"/>
  <c r="Q320" i="5"/>
  <c r="Q312" i="5"/>
  <c r="Q304" i="5"/>
  <c r="Q296" i="5"/>
  <c r="Q288" i="5"/>
  <c r="Q280" i="5"/>
  <c r="Q272" i="5"/>
  <c r="Q264" i="5"/>
  <c r="Q256" i="5"/>
  <c r="Q248" i="5"/>
  <c r="Q240" i="5"/>
  <c r="Q232" i="5"/>
  <c r="Q224" i="5"/>
  <c r="Q216" i="5"/>
  <c r="Q208" i="5"/>
  <c r="Q200" i="5"/>
  <c r="Q192" i="5"/>
  <c r="Q184" i="5"/>
  <c r="Q176" i="5"/>
  <c r="Q168" i="5"/>
  <c r="Q160" i="5"/>
  <c r="Q152" i="5"/>
  <c r="Q144" i="5"/>
  <c r="Q136" i="5"/>
  <c r="Q128" i="5"/>
  <c r="Q120" i="5"/>
  <c r="Q112" i="5"/>
  <c r="Q104" i="5"/>
  <c r="Q96" i="5"/>
  <c r="Q88" i="5"/>
  <c r="Q80" i="5"/>
  <c r="Q72" i="5"/>
  <c r="Q64" i="5"/>
  <c r="Q56" i="5"/>
  <c r="Q48" i="5"/>
  <c r="Q396" i="5"/>
  <c r="Q388" i="5"/>
  <c r="Q380" i="5"/>
  <c r="Q372" i="5"/>
  <c r="Q364" i="5"/>
  <c r="Q356" i="5"/>
  <c r="Q348" i="5"/>
  <c r="Q340" i="5"/>
  <c r="Q332" i="5"/>
  <c r="Q324" i="5"/>
  <c r="Q316" i="5"/>
  <c r="Q308" i="5"/>
  <c r="Q300" i="5"/>
  <c r="Q292" i="5"/>
  <c r="Q284" i="5"/>
  <c r="Q276" i="5"/>
  <c r="Q268" i="5"/>
  <c r="Q260" i="5"/>
  <c r="Q252" i="5"/>
  <c r="Q244" i="5"/>
  <c r="Q236" i="5"/>
  <c r="Q228" i="5"/>
  <c r="Q220" i="5"/>
  <c r="Q212" i="5"/>
  <c r="Q204" i="5"/>
  <c r="Q196" i="5"/>
  <c r="Q188" i="5"/>
  <c r="Q180" i="5"/>
  <c r="Q172" i="5"/>
  <c r="Q164" i="5"/>
  <c r="Q156" i="5"/>
  <c r="Q148" i="5"/>
  <c r="Q140" i="5"/>
  <c r="Q132" i="5"/>
  <c r="Q124" i="5"/>
  <c r="Q116" i="5"/>
  <c r="Q108" i="5"/>
  <c r="Q100" i="5"/>
  <c r="Q92" i="5"/>
  <c r="Q84" i="5"/>
  <c r="Q76" i="5"/>
  <c r="Q68" i="5"/>
  <c r="Q60" i="5"/>
  <c r="Q52" i="5"/>
  <c r="Q44" i="5"/>
  <c r="Q36" i="5"/>
  <c r="Q28" i="5"/>
  <c r="Q20" i="5"/>
  <c r="Q12" i="5"/>
  <c r="Q4" i="5"/>
  <c r="Q391" i="5"/>
  <c r="Q379" i="5"/>
  <c r="Q366" i="5"/>
  <c r="Q354" i="5"/>
  <c r="Q341" i="5"/>
  <c r="Q327" i="5"/>
  <c r="Q315" i="5"/>
  <c r="Q302" i="5"/>
  <c r="Q290" i="5"/>
  <c r="Q277" i="5"/>
  <c r="Q263" i="5"/>
  <c r="Q251" i="5"/>
  <c r="Q238" i="5"/>
  <c r="Q226" i="5"/>
  <c r="Q213" i="5"/>
  <c r="Q199" i="5"/>
  <c r="Q187" i="5"/>
  <c r="Q174" i="5"/>
  <c r="Q162" i="5"/>
  <c r="Q149" i="5"/>
  <c r="Q135" i="5"/>
  <c r="Q123" i="5"/>
  <c r="Q113" i="5"/>
  <c r="Q102" i="5"/>
  <c r="Q91" i="5"/>
  <c r="Q81" i="5"/>
  <c r="Q70" i="5"/>
  <c r="Q59" i="5"/>
  <c r="Q49" i="5"/>
  <c r="Q39" i="5"/>
  <c r="Q30" i="5"/>
  <c r="Q21" i="5"/>
  <c r="Q11" i="5"/>
  <c r="Q261" i="5"/>
  <c r="Q27" i="5"/>
  <c r="Q387" i="5"/>
  <c r="Q362" i="5"/>
  <c r="Q335" i="5"/>
  <c r="Q310" i="5"/>
  <c r="Q285" i="5"/>
  <c r="Q259" i="5"/>
  <c r="Q234" i="5"/>
  <c r="Q207" i="5"/>
  <c r="Q182" i="5"/>
  <c r="Q157" i="5"/>
  <c r="Q131" i="5"/>
  <c r="Q109" i="5"/>
  <c r="Q87" i="5"/>
  <c r="Q66" i="5"/>
  <c r="Q45" i="5"/>
  <c r="Q26" i="5"/>
  <c r="Q8" i="5"/>
  <c r="Q390" i="5"/>
  <c r="Q378" i="5"/>
  <c r="Q365" i="5"/>
  <c r="Q351" i="5"/>
  <c r="Q339" i="5"/>
  <c r="Q326" i="5"/>
  <c r="Q314" i="5"/>
  <c r="Q301" i="5"/>
  <c r="Q287" i="5"/>
  <c r="Q275" i="5"/>
  <c r="Q262" i="5"/>
  <c r="Q250" i="5"/>
  <c r="Q237" i="5"/>
  <c r="Q223" i="5"/>
  <c r="Q211" i="5"/>
  <c r="Q198" i="5"/>
  <c r="Q186" i="5"/>
  <c r="Q173" i="5"/>
  <c r="Q159" i="5"/>
  <c r="Q147" i="5"/>
  <c r="Q134" i="5"/>
  <c r="Q122" i="5"/>
  <c r="Q111" i="5"/>
  <c r="Q101" i="5"/>
  <c r="Q90" i="5"/>
  <c r="Q79" i="5"/>
  <c r="Q69" i="5"/>
  <c r="Q58" i="5"/>
  <c r="Q47" i="5"/>
  <c r="Q38" i="5"/>
  <c r="Q29" i="5"/>
  <c r="Q19" i="5"/>
  <c r="Q10" i="5"/>
  <c r="Q389" i="5"/>
  <c r="Q375" i="5"/>
  <c r="Q363" i="5"/>
  <c r="Q350" i="5"/>
  <c r="Q338" i="5"/>
  <c r="Q325" i="5"/>
  <c r="Q311" i="5"/>
  <c r="Q299" i="5"/>
  <c r="Q286" i="5"/>
  <c r="Q274" i="5"/>
  <c r="Q247" i="5"/>
  <c r="Q235" i="5"/>
  <c r="Q222" i="5"/>
  <c r="Q210" i="5"/>
  <c r="Q197" i="5"/>
  <c r="Q183" i="5"/>
  <c r="Q171" i="5"/>
  <c r="Q158" i="5"/>
  <c r="Q146" i="5"/>
  <c r="Q133" i="5"/>
  <c r="Q121" i="5"/>
  <c r="Q110" i="5"/>
  <c r="Q99" i="5"/>
  <c r="Q89" i="5"/>
  <c r="Q78" i="5"/>
  <c r="Q67" i="5"/>
  <c r="Q57" i="5"/>
  <c r="Q46" i="5"/>
  <c r="Q37" i="5"/>
  <c r="Q18" i="5"/>
  <c r="Q9" i="5"/>
  <c r="Q399" i="5"/>
  <c r="Q374" i="5"/>
  <c r="Q349" i="5"/>
  <c r="Q323" i="5"/>
  <c r="Q298" i="5"/>
  <c r="Q271" i="5"/>
  <c r="Q246" i="5"/>
  <c r="Q221" i="5"/>
  <c r="Q195" i="5"/>
  <c r="Q170" i="5"/>
  <c r="Q143" i="5"/>
  <c r="Q119" i="5"/>
  <c r="Q98" i="5"/>
  <c r="Q77" i="5"/>
  <c r="Q55" i="5"/>
  <c r="Q35" i="5"/>
  <c r="Q17" i="5"/>
  <c r="Q397" i="5"/>
  <c r="Q383" i="5"/>
  <c r="Q371" i="5"/>
  <c r="Q358" i="5"/>
  <c r="Q346" i="5"/>
  <c r="Q333" i="5"/>
  <c r="Q319" i="5"/>
  <c r="Q307" i="5"/>
  <c r="Q294" i="5"/>
  <c r="Q282" i="5"/>
  <c r="Q269" i="5"/>
  <c r="Q255" i="5"/>
  <c r="Q243" i="5"/>
  <c r="Q230" i="5"/>
  <c r="Q218" i="5"/>
  <c r="Q205" i="5"/>
  <c r="Q191" i="5"/>
  <c r="Q179" i="5"/>
  <c r="Q166" i="5"/>
  <c r="Q154" i="5"/>
  <c r="Q141" i="5"/>
  <c r="Q127" i="5"/>
  <c r="Q117" i="5"/>
  <c r="Q106" i="5"/>
  <c r="Q95" i="5"/>
  <c r="Q85" i="5"/>
  <c r="Q74" i="5"/>
  <c r="Q63" i="5"/>
  <c r="Q53" i="5"/>
  <c r="Q42" i="5"/>
  <c r="Q33" i="5"/>
  <c r="Q24" i="5"/>
  <c r="Q15" i="5"/>
  <c r="Q6" i="5"/>
  <c r="Q395" i="5"/>
  <c r="Q382" i="5"/>
  <c r="Q370" i="5"/>
  <c r="Q357" i="5"/>
  <c r="Q343" i="5"/>
  <c r="Q331" i="5"/>
  <c r="Q318" i="5"/>
  <c r="Q306" i="5"/>
  <c r="Q293" i="5"/>
  <c r="Q279" i="5"/>
  <c r="Q267" i="5"/>
  <c r="Q254" i="5"/>
  <c r="Q242" i="5"/>
  <c r="Q229" i="5"/>
  <c r="Q215" i="5"/>
  <c r="Q203" i="5"/>
  <c r="Q190" i="5"/>
  <c r="Q178" i="5"/>
  <c r="Q165" i="5"/>
  <c r="Q151" i="5"/>
  <c r="Q139" i="5"/>
  <c r="Q126" i="5"/>
  <c r="Q115" i="5"/>
  <c r="Q105" i="5"/>
  <c r="Q94" i="5"/>
  <c r="Q83" i="5"/>
  <c r="Q73" i="5"/>
  <c r="Q62" i="5"/>
  <c r="Q51" i="5"/>
  <c r="Q41" i="5"/>
  <c r="Q32" i="5"/>
  <c r="Q23" i="5"/>
  <c r="Q14" i="5"/>
  <c r="Q5" i="5"/>
  <c r="Q394" i="5"/>
  <c r="Q381" i="5"/>
  <c r="Q367" i="5"/>
  <c r="Q355" i="5"/>
  <c r="Q342" i="5"/>
  <c r="Q330" i="5"/>
  <c r="Q317" i="5"/>
  <c r="Q303" i="5"/>
  <c r="Q291" i="5"/>
  <c r="Q278" i="5"/>
  <c r="Q266" i="5"/>
  <c r="Q253" i="5"/>
  <c r="Q239" i="5"/>
  <c r="Q227" i="5"/>
  <c r="Q214" i="5"/>
  <c r="Q202" i="5"/>
  <c r="Q189" i="5"/>
  <c r="Q175" i="5"/>
  <c r="Q163" i="5"/>
  <c r="Q150" i="5"/>
  <c r="Q138" i="5"/>
  <c r="Q125" i="5"/>
  <c r="Q309" i="5"/>
  <c r="Q206" i="5"/>
  <c r="Q114" i="5"/>
  <c r="Q71" i="5"/>
  <c r="Q31" i="5"/>
  <c r="Q322" i="5"/>
  <c r="Q75" i="5"/>
  <c r="Q398" i="5"/>
  <c r="Q295" i="5"/>
  <c r="Q194" i="5"/>
  <c r="Q107" i="5"/>
  <c r="Q65" i="5"/>
  <c r="Q25" i="5"/>
  <c r="Q219" i="5"/>
  <c r="Q34" i="5"/>
  <c r="Q386" i="5"/>
  <c r="Q283" i="5"/>
  <c r="Q181" i="5"/>
  <c r="Q103" i="5"/>
  <c r="Q61" i="5"/>
  <c r="Q22" i="5"/>
  <c r="Q373" i="5"/>
  <c r="Q270" i="5"/>
  <c r="Q167" i="5"/>
  <c r="Q97" i="5"/>
  <c r="Q54" i="5"/>
  <c r="Q16" i="5"/>
  <c r="Q359" i="5"/>
  <c r="Q258" i="5"/>
  <c r="Q155" i="5"/>
  <c r="Q93" i="5"/>
  <c r="Q50" i="5"/>
  <c r="Q13" i="5"/>
  <c r="Q347" i="5"/>
  <c r="Q245" i="5"/>
  <c r="Q142" i="5"/>
  <c r="Q86" i="5"/>
  <c r="Q43" i="5"/>
  <c r="Q7" i="5"/>
  <c r="Q334" i="5"/>
  <c r="Q231" i="5"/>
  <c r="Q130" i="5"/>
  <c r="Q82" i="5"/>
  <c r="Q40" i="5"/>
  <c r="Q3" i="5"/>
  <c r="Q118" i="5"/>
  <c r="C36" i="5" l="1"/>
  <c r="C37" i="5"/>
</calcChain>
</file>

<file path=xl/sharedStrings.xml><?xml version="1.0" encoding="utf-8"?>
<sst xmlns="http://schemas.openxmlformats.org/spreadsheetml/2006/main" count="910" uniqueCount="427">
  <si>
    <t>参数</t>
    <phoneticPr fontId="6" type="noConversion"/>
  </si>
  <si>
    <t>黄色不常改，绿色经常会改</t>
    <phoneticPr fontId="6" type="noConversion"/>
  </si>
  <si>
    <t>π</t>
  </si>
  <si>
    <t>θ</t>
    <phoneticPr fontId="6" type="noConversion"/>
  </si>
  <si>
    <t>°</t>
    <phoneticPr fontId="6" type="noConversion"/>
  </si>
  <si>
    <t>FSPR</t>
    <phoneticPr fontId="6" type="noConversion"/>
  </si>
  <si>
    <t>细分数</t>
    <phoneticPr fontId="6" type="noConversion"/>
  </si>
  <si>
    <t>m</t>
    <phoneticPr fontId="6" type="noConversion"/>
  </si>
  <si>
    <t>SPR</t>
    <phoneticPr fontId="6" type="noConversion"/>
  </si>
  <si>
    <t>频率</t>
    <phoneticPr fontId="6" type="noConversion"/>
  </si>
  <si>
    <t>f</t>
    <phoneticPr fontId="6" type="noConversion"/>
  </si>
  <si>
    <t>同步带齿距</t>
    <phoneticPr fontId="6" type="noConversion"/>
  </si>
  <si>
    <t>s</t>
    <phoneticPr fontId="6" type="noConversion"/>
  </si>
  <si>
    <t>mm</t>
    <phoneticPr fontId="6" type="noConversion"/>
  </si>
  <si>
    <t>同步轮齿数</t>
    <phoneticPr fontId="6" type="noConversion"/>
  </si>
  <si>
    <t>n</t>
    <phoneticPr fontId="6" type="noConversion"/>
  </si>
  <si>
    <t>个</t>
    <phoneticPr fontId="6" type="noConversion"/>
  </si>
  <si>
    <t>步进距离</t>
    <phoneticPr fontId="6" type="noConversion"/>
  </si>
  <si>
    <t>Δl</t>
    <phoneticPr fontId="6" type="noConversion"/>
  </si>
  <si>
    <t>mm</t>
    <phoneticPr fontId="6" type="noConversion"/>
  </si>
  <si>
    <t>α</t>
  </si>
  <si>
    <t>rad</t>
    <phoneticPr fontId="6" type="noConversion"/>
  </si>
  <si>
    <t>分频最小值</t>
    <phoneticPr fontId="6" type="noConversion"/>
  </si>
  <si>
    <t>w&lt;</t>
    <phoneticPr fontId="6" type="noConversion"/>
  </si>
  <si>
    <t>rad/s</t>
    <phoneticPr fontId="6" type="noConversion"/>
  </si>
  <si>
    <t>RPM</t>
    <phoneticPr fontId="6" type="noConversion"/>
  </si>
  <si>
    <t>线速度限制</t>
    <phoneticPr fontId="6" type="noConversion"/>
  </si>
  <si>
    <t>v&lt;</t>
    <phoneticPr fontId="6" type="noConversion"/>
  </si>
  <si>
    <t>mm/s</t>
    <phoneticPr fontId="6" type="noConversion"/>
  </si>
  <si>
    <t>m/s</t>
    <phoneticPr fontId="6" type="noConversion"/>
  </si>
  <si>
    <t>角速度</t>
    <phoneticPr fontId="6" type="noConversion"/>
  </si>
  <si>
    <r>
      <t>w=</t>
    </r>
    <r>
      <rPr>
        <sz val="11"/>
        <color theme="1"/>
        <rFont val="宋体"/>
        <family val="3"/>
        <charset val="134"/>
      </rPr>
      <t>α</t>
    </r>
    <r>
      <rPr>
        <sz val="11"/>
        <color theme="1"/>
        <rFont val="宋体"/>
        <family val="2"/>
        <charset val="134"/>
      </rPr>
      <t>/</t>
    </r>
    <r>
      <rPr>
        <sz val="11"/>
        <color theme="1"/>
        <rFont val="宋体"/>
        <family val="3"/>
        <charset val="134"/>
      </rPr>
      <t>Δ</t>
    </r>
    <r>
      <rPr>
        <sz val="11"/>
        <color theme="1"/>
        <rFont val="宋体"/>
        <family val="2"/>
        <charset val="134"/>
      </rPr>
      <t>t=(2*</t>
    </r>
    <r>
      <rPr>
        <sz val="11"/>
        <color theme="1"/>
        <rFont val="宋体"/>
        <family val="3"/>
        <charset val="134"/>
      </rPr>
      <t>π</t>
    </r>
    <r>
      <rPr>
        <sz val="11"/>
        <color theme="1"/>
        <rFont val="宋体"/>
        <family val="2"/>
        <charset val="134"/>
      </rPr>
      <t>/SPR)/(c/f)</t>
    </r>
    <phoneticPr fontId="6" type="noConversion"/>
  </si>
  <si>
    <t>线速度</t>
    <phoneticPr fontId="6" type="noConversion"/>
  </si>
  <si>
    <t>步数</t>
    <phoneticPr fontId="2" type="noConversion"/>
  </si>
  <si>
    <t>加速度</t>
    <phoneticPr fontId="2" type="noConversion"/>
  </si>
  <si>
    <t>减速度</t>
    <phoneticPr fontId="2" type="noConversion"/>
  </si>
  <si>
    <t>速度</t>
    <phoneticPr fontId="2" type="noConversion"/>
  </si>
  <si>
    <r>
      <t>s</t>
    </r>
    <r>
      <rPr>
        <sz val="12"/>
        <rFont val="宋体"/>
        <family val="3"/>
        <charset val="134"/>
      </rPr>
      <t>tep</t>
    </r>
    <phoneticPr fontId="2" type="noConversion"/>
  </si>
  <si>
    <r>
      <t>a</t>
    </r>
    <r>
      <rPr>
        <sz val="12"/>
        <rFont val="宋体"/>
        <family val="3"/>
        <charset val="134"/>
      </rPr>
      <t>ccel</t>
    </r>
    <phoneticPr fontId="2" type="noConversion"/>
  </si>
  <si>
    <r>
      <t>d</t>
    </r>
    <r>
      <rPr>
        <sz val="12"/>
        <rFont val="宋体"/>
        <family val="3"/>
        <charset val="134"/>
      </rPr>
      <t>ecel</t>
    </r>
    <phoneticPr fontId="2" type="noConversion"/>
  </si>
  <si>
    <t>speed</t>
    <phoneticPr fontId="2" type="noConversion"/>
  </si>
  <si>
    <r>
      <t>rad/s</t>
    </r>
    <r>
      <rPr>
        <vertAlign val="superscript"/>
        <sz val="12"/>
        <rFont val="宋体"/>
        <family val="3"/>
        <charset val="134"/>
      </rPr>
      <t>2</t>
    </r>
    <phoneticPr fontId="2" type="noConversion"/>
  </si>
  <si>
    <r>
      <t>r</t>
    </r>
    <r>
      <rPr>
        <sz val="12"/>
        <rFont val="宋体"/>
        <family val="3"/>
        <charset val="134"/>
      </rPr>
      <t>ad/s</t>
    </r>
    <phoneticPr fontId="2" type="noConversion"/>
  </si>
  <si>
    <t>角速度 w(rad/s)</t>
    <phoneticPr fontId="6" type="noConversion"/>
  </si>
  <si>
    <t>线速度 v(mm/s)</t>
    <phoneticPr fontId="6" type="noConversion"/>
  </si>
  <si>
    <t>位移(mm)</t>
    <phoneticPr fontId="6" type="noConversion"/>
  </si>
  <si>
    <t>整步步距角</t>
    <phoneticPr fontId="6" type="noConversion"/>
  </si>
  <si>
    <t>角速度限制</t>
    <phoneticPr fontId="6" type="noConversion"/>
  </si>
  <si>
    <r>
      <t>v=</t>
    </r>
    <r>
      <rPr>
        <sz val="11"/>
        <color theme="1"/>
        <rFont val="宋体"/>
        <family val="3"/>
        <charset val="134"/>
      </rPr>
      <t>Δl</t>
    </r>
    <r>
      <rPr>
        <sz val="12"/>
        <rFont val="宋体"/>
        <family val="3"/>
        <charset val="134"/>
      </rPr>
      <t>/Δt=(s*n/SPR)/(c/f)</t>
    </r>
    <phoneticPr fontId="6" type="noConversion"/>
  </si>
  <si>
    <t>步进弧度</t>
    <phoneticPr fontId="6" type="noConversion"/>
  </si>
  <si>
    <r>
      <t>&gt;</t>
    </r>
    <r>
      <rPr>
        <sz val="12"/>
        <rFont val="宋体"/>
        <family val="3"/>
        <charset val="134"/>
      </rPr>
      <t>=</t>
    </r>
    <phoneticPr fontId="2" type="noConversion"/>
  </si>
  <si>
    <t>一圈总步数</t>
    <phoneticPr fontId="6" type="noConversion"/>
  </si>
  <si>
    <t>整步步数</t>
    <phoneticPr fontId="6" type="noConversion"/>
  </si>
  <si>
    <r>
      <t>m</t>
    </r>
    <r>
      <rPr>
        <sz val="12"/>
        <rFont val="宋体"/>
        <family val="3"/>
        <charset val="134"/>
      </rPr>
      <t>m/s</t>
    </r>
    <phoneticPr fontId="2" type="noConversion"/>
  </si>
  <si>
    <t>为了提高整数计算的精度加速度,减速度,速度都比实际值扩大了100倍</t>
    <phoneticPr fontId="2" type="noConversion"/>
  </si>
  <si>
    <r>
      <t>mm/s</t>
    </r>
    <r>
      <rPr>
        <vertAlign val="superscript"/>
        <sz val="12"/>
        <rFont val="宋体"/>
        <family val="3"/>
        <charset val="134"/>
      </rPr>
      <t>2</t>
    </r>
    <phoneticPr fontId="2" type="noConversion"/>
  </si>
  <si>
    <t>A</t>
    <phoneticPr fontId="2" type="noConversion"/>
  </si>
  <si>
    <t>c</t>
    <phoneticPr fontId="2" type="noConversion"/>
  </si>
  <si>
    <t>t</t>
    <phoneticPr fontId="2" type="noConversion"/>
  </si>
  <si>
    <t>（c）</t>
    <phoneticPr fontId="6" type="noConversion"/>
  </si>
  <si>
    <t>（t）</t>
    <phoneticPr fontId="6" type="noConversion"/>
  </si>
  <si>
    <t>理论-实际</t>
    <phoneticPr fontId="2" type="noConversion"/>
  </si>
  <si>
    <t>time</t>
    <phoneticPr fontId="2" type="noConversion"/>
  </si>
  <si>
    <t>Co</t>
  </si>
  <si>
    <t>初始计数值</t>
    <phoneticPr fontId="2" type="noConversion"/>
  </si>
  <si>
    <t>Cmin</t>
    <phoneticPr fontId="2" type="noConversion"/>
  </si>
  <si>
    <t>最小计数值</t>
    <phoneticPr fontId="2" type="noConversion"/>
  </si>
  <si>
    <t>加速的步数</t>
    <phoneticPr fontId="2" type="noConversion"/>
  </si>
  <si>
    <t>减速前步数</t>
    <phoneticPr fontId="2" type="noConversion"/>
  </si>
  <si>
    <t>max_s_lim</t>
  </si>
  <si>
    <t>accel_lim</t>
  </si>
  <si>
    <t>decel_val</t>
  </si>
  <si>
    <t>减速走的步数</t>
    <phoneticPr fontId="2" type="noConversion"/>
  </si>
  <si>
    <t>匀速的步数</t>
    <phoneticPr fontId="2" type="noConversion"/>
  </si>
  <si>
    <r>
      <t>s</t>
    </r>
    <r>
      <rPr>
        <sz val="12"/>
        <rFont val="宋体"/>
        <family val="3"/>
        <charset val="134"/>
      </rPr>
      <t>tep_speed</t>
    </r>
    <phoneticPr fontId="2" type="noConversion"/>
  </si>
  <si>
    <t>总时间</t>
    <phoneticPr fontId="2" type="noConversion"/>
  </si>
  <si>
    <t>A</t>
    <phoneticPr fontId="2" type="noConversion"/>
  </si>
  <si>
    <t>A</t>
    <phoneticPr fontId="2" type="noConversion"/>
  </si>
  <si>
    <t>R</t>
    <phoneticPr fontId="2" type="noConversion"/>
  </si>
  <si>
    <t>R</t>
    <phoneticPr fontId="2" type="noConversion"/>
  </si>
  <si>
    <t>D</t>
    <phoneticPr fontId="2" type="noConversion"/>
  </si>
  <si>
    <t>R</t>
    <phoneticPr fontId="2" type="noConversion"/>
  </si>
  <si>
    <t>R</t>
    <phoneticPr fontId="2" type="noConversion"/>
  </si>
  <si>
    <t>R</t>
    <phoneticPr fontId="2" type="noConversion"/>
  </si>
  <si>
    <t>加速时间</t>
    <phoneticPr fontId="2" type="noConversion"/>
  </si>
  <si>
    <r>
      <t>u</t>
    </r>
    <r>
      <rPr>
        <sz val="12"/>
        <rFont val="宋体"/>
        <family val="3"/>
        <charset val="134"/>
      </rPr>
      <t>S</t>
    </r>
    <phoneticPr fontId="2" type="noConversion"/>
  </si>
  <si>
    <t>减速时间</t>
    <phoneticPr fontId="2" type="noConversion"/>
  </si>
  <si>
    <t>匀速时间</t>
    <phoneticPr fontId="2" type="noConversion"/>
  </si>
  <si>
    <t>uS</t>
    <phoneticPr fontId="2" type="noConversion"/>
  </si>
  <si>
    <t>a</t>
    <phoneticPr fontId="2" type="noConversion"/>
  </si>
  <si>
    <t>b</t>
    <phoneticPr fontId="2" type="noConversion"/>
  </si>
  <si>
    <t>增益</t>
    <phoneticPr fontId="2" type="noConversion"/>
  </si>
  <si>
    <t>Co</t>
    <phoneticPr fontId="2" type="noConversion"/>
  </si>
  <si>
    <t>Cmin</t>
    <phoneticPr fontId="2" type="noConversion"/>
  </si>
  <si>
    <t>初始速度</t>
    <phoneticPr fontId="2" type="noConversion"/>
  </si>
  <si>
    <t>s0</t>
    <phoneticPr fontId="2" type="noConversion"/>
  </si>
  <si>
    <t>斜率|</t>
    <phoneticPr fontId="2" type="noConversion"/>
  </si>
  <si>
    <t>偏移量-</t>
    <phoneticPr fontId="2" type="noConversion"/>
  </si>
  <si>
    <t>初始计数值</t>
    <phoneticPr fontId="2" type="noConversion"/>
  </si>
  <si>
    <t>模式</t>
    <phoneticPr fontId="2" type="noConversion"/>
  </si>
  <si>
    <t>ABC</t>
    <phoneticPr fontId="2" type="noConversion"/>
  </si>
  <si>
    <t>/^\</t>
    <phoneticPr fontId="2" type="noConversion"/>
  </si>
  <si>
    <t>AB</t>
    <phoneticPr fontId="2" type="noConversion"/>
  </si>
  <si>
    <t>B</t>
    <phoneticPr fontId="2" type="noConversion"/>
  </si>
  <si>
    <t>BC</t>
    <phoneticPr fontId="2" type="noConversion"/>
  </si>
  <si>
    <t>加速、匀速、减速</t>
    <phoneticPr fontId="2" type="noConversion"/>
  </si>
  <si>
    <t>加速到匀速</t>
    <phoneticPr fontId="2" type="noConversion"/>
  </si>
  <si>
    <t>匀速</t>
    <phoneticPr fontId="2" type="noConversion"/>
  </si>
  <si>
    <t>匀速到减速</t>
    <phoneticPr fontId="2" type="noConversion"/>
  </si>
  <si>
    <t>C</t>
    <phoneticPr fontId="2" type="noConversion"/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</si>
  <si>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</si>
  <si>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</si>
  <si>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</si>
  <si>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</si>
  <si>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</si>
  <si>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</si>
  <si>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</si>
  <si>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</si>
  <si>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</si>
  <si>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</si>
  <si>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</si>
  <si>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</si>
  <si>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</si>
  <si>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</si>
  <si>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</si>
  <si>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</si>
  <si>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</si>
  <si>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</si>
  <si>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</si>
  <si>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</si>
  <si>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</si>
  <si>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</si>
  <si>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</si>
  <si>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</si>
  <si>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</si>
  <si>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</si>
  <si>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</si>
  <si>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</si>
  <si>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</si>
  <si>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</si>
  <si>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</si>
  <si>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</si>
  <si>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</si>
  <si>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</si>
  <si>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</si>
  <si>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</si>
  <si>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</si>
  <si>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</si>
  <si>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</si>
  <si>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</si>
  <si>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</si>
  <si>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</si>
  <si>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</si>
  <si>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</si>
  <si>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</si>
  <si>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</si>
  <si>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</si>
  <si>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</si>
  <si>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</si>
  <si>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</si>
  <si>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</si>
  <si>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</si>
  <si>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</si>
  <si>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</si>
  <si>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</si>
  <si>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</si>
  <si>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</si>
  <si>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</si>
  <si>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</si>
  <si>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</si>
  <si>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</si>
  <si>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</si>
  <si>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</si>
  <si>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</si>
  <si>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</si>
  <si>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</si>
  <si>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</si>
  <si>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</si>
  <si>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</si>
  <si>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</si>
  <si>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</si>
  <si>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</si>
  <si>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</si>
  <si>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</si>
  <si>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</si>
  <si>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</si>
  <si>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</si>
  <si>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</si>
  <si>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</si>
  <si>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</si>
  <si>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</si>
  <si>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</si>
  <si>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</si>
  <si>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</si>
  <si>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</si>
  <si>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</si>
  <si>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</si>
  <si>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</si>
  <si>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</si>
  <si>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</si>
  <si>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</si>
  <si>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</si>
  <si>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</si>
  <si>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</si>
  <si>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</si>
  <si>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</si>
  <si>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</si>
  <si>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</si>
  <si>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</si>
  <si>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</si>
  <si>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</si>
  <si>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</si>
  <si>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</si>
  <si>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</si>
  <si>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</si>
  <si>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</si>
  <si>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</si>
  <si>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</si>
  <si>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</si>
  <si>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</si>
  <si>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</si>
  <si>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</si>
  <si>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</si>
  <si>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</si>
  <si>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</si>
  <si>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</si>
  <si>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</si>
  <si>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</si>
  <si>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</si>
  <si>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</si>
  <si>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</si>
  <si>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</si>
  <si>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</si>
  <si>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</si>
  <si>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</si>
  <si>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</si>
  <si>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</si>
  <si>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</si>
  <si>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</si>
  <si>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</si>
  <si>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</si>
  <si>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</si>
  <si>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</si>
  <si>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</si>
  <si>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</si>
  <si>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</si>
  <si>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</si>
  <si>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</si>
  <si>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</si>
  <si>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</si>
  <si>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</si>
  <si>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</si>
  <si>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</si>
  <si>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</si>
  <si>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</si>
  <si>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</si>
  <si>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</si>
  <si>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</si>
  <si>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</si>
  <si>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</si>
  <si>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</si>
  <si>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</si>
  <si>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</si>
  <si>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</si>
  <si>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</si>
  <si>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</si>
  <si>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</si>
  <si>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</si>
  <si>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</si>
  <si>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</si>
  <si>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</si>
  <si>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</si>
  <si>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</si>
  <si>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</si>
  <si>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</si>
  <si>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</si>
  <si>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</si>
  <si>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</si>
  <si>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</si>
  <si>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</si>
  <si>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</si>
  <si>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</si>
  <si>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</si>
  <si>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</si>
  <si>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</si>
  <si>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</si>
  <si>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</si>
  <si>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</si>
  <si>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</si>
  <si>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</si>
  <si>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</si>
  <si>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</si>
  <si>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</si>
  <si>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</si>
  <si>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</si>
  <si>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</si>
  <si>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</si>
  <si>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</si>
  <si>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</si>
  <si>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</si>
  <si>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</si>
  <si>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</si>
  <si>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</si>
  <si>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</si>
  <si>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</si>
  <si>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</si>
  <si>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</si>
  <si>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</si>
  <si>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</si>
  <si>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</si>
  <si>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</si>
  <si>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</si>
  <si>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</si>
  <si>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</si>
  <si>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</si>
  <si>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</si>
  <si>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</si>
  <si>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</si>
  <si>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</si>
  <si>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</si>
  <si>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</si>
  <si>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</si>
  <si>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</si>
  <si>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</si>
  <si>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</si>
  <si>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</si>
  <si>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</si>
  <si>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</si>
  <si>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</si>
  <si>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</si>
  <si>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</si>
  <si>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D80</t>
  </si>
  <si>
    <t>D81</t>
  </si>
  <si>
    <t>D82</t>
  </si>
  <si>
    <t>D83</t>
  </si>
  <si>
    <t>D84</t>
  </si>
  <si>
    <t>D85</t>
  </si>
  <si>
    <t>D86</t>
  </si>
  <si>
    <t>D87</t>
  </si>
  <si>
    <t>D88</t>
  </si>
  <si>
    <t>D89</t>
  </si>
  <si>
    <t>D90</t>
  </si>
  <si>
    <t>D91</t>
  </si>
  <si>
    <t>D92</t>
  </si>
  <si>
    <t>D93</t>
  </si>
  <si>
    <t>D94</t>
  </si>
  <si>
    <t>D95</t>
  </si>
  <si>
    <t>D96</t>
  </si>
  <si>
    <t>D97</t>
  </si>
  <si>
    <t>D98</t>
  </si>
  <si>
    <t>D99</t>
  </si>
  <si>
    <t>D100</t>
  </si>
  <si>
    <t>D101</t>
  </si>
  <si>
    <t>D102</t>
  </si>
  <si>
    <t>D103</t>
  </si>
  <si>
    <t>D104</t>
  </si>
  <si>
    <t>D105</t>
  </si>
  <si>
    <t>D106</t>
  </si>
  <si>
    <t>D107</t>
  </si>
  <si>
    <t>D108</t>
  </si>
  <si>
    <t>D109</t>
  </si>
  <si>
    <t>D110</t>
  </si>
  <si>
    <t>D111</t>
  </si>
  <si>
    <t>D112</t>
  </si>
  <si>
    <t>D113</t>
  </si>
  <si>
    <t>D114</t>
  </si>
  <si>
    <t>D115</t>
  </si>
  <si>
    <t>D116</t>
  </si>
  <si>
    <t>D117</t>
  </si>
  <si>
    <t>D118</t>
  </si>
  <si>
    <t>D119</t>
  </si>
  <si>
    <t>D120</t>
  </si>
  <si>
    <t>D121</t>
  </si>
  <si>
    <t>D122</t>
  </si>
  <si>
    <t>D123</t>
  </si>
  <si>
    <t>D124</t>
  </si>
  <si>
    <t>D125</t>
  </si>
  <si>
    <t>D126</t>
  </si>
  <si>
    <t>D127</t>
  </si>
  <si>
    <t>D128</t>
  </si>
  <si>
    <t>D129</t>
  </si>
  <si>
    <t>D130</t>
  </si>
  <si>
    <t>D131</t>
  </si>
  <si>
    <t>D132</t>
  </si>
  <si>
    <t>D133</t>
  </si>
  <si>
    <t>D134</t>
  </si>
  <si>
    <t>D135</t>
  </si>
  <si>
    <t>D136</t>
  </si>
  <si>
    <t>D137</t>
  </si>
  <si>
    <t>D138</t>
  </si>
  <si>
    <t>D139</t>
  </si>
  <si>
    <t>D140</t>
  </si>
  <si>
    <t>D141</t>
  </si>
  <si>
    <t>D142</t>
  </si>
  <si>
    <t>[S0440400]</t>
  </si>
  <si>
    <t>acc pulse:22 acc time:34150 us</t>
  </si>
  <si>
    <t>[B160010000050]</t>
  </si>
  <si>
    <t>[B160015000050]</t>
    <phoneticPr fontId="2" type="noConversion"/>
  </si>
  <si>
    <t>[B160005000050]</t>
  </si>
  <si>
    <t>[S0440800]</t>
  </si>
  <si>
    <t>acc pulse:32 acc time:34150 us</t>
  </si>
  <si>
    <t>acc pulse:30 acc time:39300 us</t>
  </si>
  <si>
    <r>
      <t>[S0</t>
    </r>
    <r>
      <rPr>
        <sz val="12"/>
        <rFont val="宋体"/>
        <family val="3"/>
        <charset val="134"/>
      </rPr>
      <t>3</t>
    </r>
    <r>
      <rPr>
        <sz val="12"/>
        <rFont val="宋体"/>
        <charset val="134"/>
      </rPr>
      <t>40400]</t>
    </r>
    <phoneticPr fontId="2" type="noConversion"/>
  </si>
  <si>
    <r>
      <t>[S0</t>
    </r>
    <r>
      <rPr>
        <sz val="12"/>
        <rFont val="宋体"/>
        <family val="3"/>
        <charset val="134"/>
      </rPr>
      <t>3</t>
    </r>
    <r>
      <rPr>
        <sz val="12"/>
        <rFont val="宋体"/>
        <charset val="134"/>
      </rPr>
      <t>40800]</t>
    </r>
    <phoneticPr fontId="2" type="noConversion"/>
  </si>
  <si>
    <t>[S0540400]</t>
  </si>
  <si>
    <t>[B350030000050]</t>
  </si>
  <si>
    <t>acc pulse:28 acc time:91250 us</t>
  </si>
  <si>
    <t>[B350020000050]</t>
  </si>
  <si>
    <t>acc pulse:34 acc time:94250 us</t>
  </si>
  <si>
    <r>
      <t>[S05</t>
    </r>
    <r>
      <rPr>
        <sz val="12"/>
        <rFont val="宋体"/>
        <family val="3"/>
        <charset val="134"/>
      </rPr>
      <t>4</t>
    </r>
    <r>
      <rPr>
        <sz val="12"/>
        <rFont val="宋体"/>
        <charset val="134"/>
      </rPr>
      <t>0400]</t>
    </r>
    <phoneticPr fontId="2" type="noConversion"/>
  </si>
  <si>
    <t>[B350010000050]</t>
  </si>
  <si>
    <t>acc pulse:36 acc time:82250 us</t>
  </si>
  <si>
    <t>[B200008000050]</t>
  </si>
  <si>
    <t>(S0141600;S0101600)</t>
  </si>
  <si>
    <t>(S0141600;S0101600)</t>
    <phoneticPr fontId="2" type="noConversion"/>
  </si>
  <si>
    <t>acc pulse:32 acc time:45400 us</t>
  </si>
  <si>
    <t>[B200012000050]</t>
  </si>
  <si>
    <t>acc pulse:30 acc time:48400 us</t>
  </si>
  <si>
    <t>[B200016000050]</t>
  </si>
  <si>
    <t>acc pulse:28 acc time:50600 us</t>
  </si>
  <si>
    <t>(S0241800;S0201800)</t>
  </si>
  <si>
    <t>[B100005000030]</t>
  </si>
  <si>
    <t>acc pulse:48 acc time:36250 us</t>
  </si>
  <si>
    <t>acc pulse:34 acc time:31625 us</t>
  </si>
  <si>
    <t>[B110007500040]</t>
    <phoneticPr fontId="2" type="noConversion"/>
  </si>
  <si>
    <t>[B120010000050]</t>
  </si>
  <si>
    <t>acc pulse:24 acc time:26500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</si>
</sst>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 * #,##0.00_ ;_ * \-#,##0.00_ ;_ * &quot;-&quot;??_ ;_ @_ "/>
  </numFmts>
  <fonts count="13" x14ac:knownFonts="1">
    <font>
      <sz val="12"/>
      <name val="宋体"/>
      <charset val="134"/>
    </font>
    <font>
      <b/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2"/>
      <charset val="134"/>
    </font>
    <font>
      <vertAlign val="superscript"/>
      <sz val="12"/>
      <name val="宋体"/>
      <family val="3"/>
      <charset val="134"/>
    </font>
    <font>
      <sz val="12"/>
      <color rgb="FF000000"/>
      <name val="宋体"/>
      <family val="3"/>
      <charset val="134"/>
    </font>
    <font>
      <b/>
      <sz val="10"/>
      <color theme="2"/>
      <name val="宋体"/>
      <family val="3"/>
      <charset val="134"/>
    </font>
    <font>
      <sz val="12"/>
      <color theme="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43" fontId="5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0" fillId="0" borderId="0" xfId="0" applyBorder="1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0" fontId="7" fillId="0" borderId="0" xfId="0" applyFont="1">
      <alignment vertical="center"/>
    </xf>
    <xf numFmtId="0" fontId="1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right" vertical="center"/>
    </xf>
    <xf numFmtId="0" fontId="0" fillId="0" borderId="0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0" xfId="0" applyFont="1" applyFill="1">
      <alignment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right"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>
      <alignment horizontal="right"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3" fillId="6" borderId="0" xfId="0" applyFont="1" applyFill="1">
      <alignment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3">
    <cellStyle name="常规" xfId="0" builtinId="0"/>
    <cellStyle name="常规 2" xfId="1"/>
    <cellStyle name="千位分隔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角速度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stepmoto1!$K$2:$K$401</c:f>
              <c:numCache>
                <c:formatCode>General</c:formatCode>
                <c:ptCount val="400"/>
                <c:pt idx="0">
                  <c:v>11965</c:v>
                </c:pt>
                <c:pt idx="1">
                  <c:v>19144</c:v>
                </c:pt>
                <c:pt idx="2">
                  <c:v>24728</c:v>
                </c:pt>
                <c:pt idx="3">
                  <c:v>29453</c:v>
                </c:pt>
                <c:pt idx="4">
                  <c:v>33622</c:v>
                </c:pt>
                <c:pt idx="5">
                  <c:v>37394</c:v>
                </c:pt>
                <c:pt idx="6">
                  <c:v>40865</c:v>
                </c:pt>
                <c:pt idx="7">
                  <c:v>44096</c:v>
                </c:pt>
                <c:pt idx="8">
                  <c:v>47132</c:v>
                </c:pt>
                <c:pt idx="9">
                  <c:v>50004</c:v>
                </c:pt>
                <c:pt idx="10">
                  <c:v>52736</c:v>
                </c:pt>
                <c:pt idx="11">
                  <c:v>55346</c:v>
                </c:pt>
                <c:pt idx="12">
                  <c:v>57850</c:v>
                </c:pt>
                <c:pt idx="13">
                  <c:v>60259</c:v>
                </c:pt>
                <c:pt idx="14">
                  <c:v>62584</c:v>
                </c:pt>
                <c:pt idx="15">
                  <c:v>64833</c:v>
                </c:pt>
                <c:pt idx="16">
                  <c:v>67012</c:v>
                </c:pt>
                <c:pt idx="17">
                  <c:v>69128</c:v>
                </c:pt>
                <c:pt idx="18">
                  <c:v>71186</c:v>
                </c:pt>
                <c:pt idx="19">
                  <c:v>73191</c:v>
                </c:pt>
                <c:pt idx="20">
                  <c:v>75146</c:v>
                </c:pt>
                <c:pt idx="21">
                  <c:v>77055</c:v>
                </c:pt>
                <c:pt idx="22">
                  <c:v>78922</c:v>
                </c:pt>
                <c:pt idx="23">
                  <c:v>80748</c:v>
                </c:pt>
                <c:pt idx="24">
                  <c:v>82537</c:v>
                </c:pt>
                <c:pt idx="25">
                  <c:v>84290</c:v>
                </c:pt>
                <c:pt idx="26">
                  <c:v>86010</c:v>
                </c:pt>
                <c:pt idx="27">
                  <c:v>87698</c:v>
                </c:pt>
                <c:pt idx="28">
                  <c:v>89357</c:v>
                </c:pt>
                <c:pt idx="29">
                  <c:v>90987</c:v>
                </c:pt>
                <c:pt idx="30">
                  <c:v>92590</c:v>
                </c:pt>
                <c:pt idx="31">
                  <c:v>94168</c:v>
                </c:pt>
                <c:pt idx="32">
                  <c:v>95738</c:v>
                </c:pt>
                <c:pt idx="33">
                  <c:v>97308</c:v>
                </c:pt>
                <c:pt idx="34">
                  <c:v>98878</c:v>
                </c:pt>
                <c:pt idx="35">
                  <c:v>100448</c:v>
                </c:pt>
                <c:pt idx="36">
                  <c:v>102018</c:v>
                </c:pt>
                <c:pt idx="37">
                  <c:v>103588</c:v>
                </c:pt>
                <c:pt idx="38">
                  <c:v>105158</c:v>
                </c:pt>
                <c:pt idx="39">
                  <c:v>106728</c:v>
                </c:pt>
                <c:pt idx="40">
                  <c:v>108298</c:v>
                </c:pt>
                <c:pt idx="41">
                  <c:v>109868</c:v>
                </c:pt>
                <c:pt idx="42">
                  <c:v>111438</c:v>
                </c:pt>
                <c:pt idx="43">
                  <c:v>113008</c:v>
                </c:pt>
                <c:pt idx="44">
                  <c:v>114578</c:v>
                </c:pt>
                <c:pt idx="45">
                  <c:v>116148</c:v>
                </c:pt>
                <c:pt idx="46">
                  <c:v>117718</c:v>
                </c:pt>
                <c:pt idx="47">
                  <c:v>119288</c:v>
                </c:pt>
                <c:pt idx="48">
                  <c:v>120858</c:v>
                </c:pt>
                <c:pt idx="49">
                  <c:v>122428</c:v>
                </c:pt>
                <c:pt idx="50">
                  <c:v>123998</c:v>
                </c:pt>
                <c:pt idx="51">
                  <c:v>125568</c:v>
                </c:pt>
                <c:pt idx="52">
                  <c:v>127138</c:v>
                </c:pt>
                <c:pt idx="53">
                  <c:v>128708</c:v>
                </c:pt>
                <c:pt idx="54">
                  <c:v>130278</c:v>
                </c:pt>
                <c:pt idx="55">
                  <c:v>131848</c:v>
                </c:pt>
                <c:pt idx="56">
                  <c:v>133418</c:v>
                </c:pt>
                <c:pt idx="57">
                  <c:v>134988</c:v>
                </c:pt>
                <c:pt idx="58">
                  <c:v>136558</c:v>
                </c:pt>
                <c:pt idx="59">
                  <c:v>138128</c:v>
                </c:pt>
                <c:pt idx="60">
                  <c:v>139698</c:v>
                </c:pt>
                <c:pt idx="61">
                  <c:v>141268</c:v>
                </c:pt>
                <c:pt idx="62">
                  <c:v>142838</c:v>
                </c:pt>
                <c:pt idx="63">
                  <c:v>144408</c:v>
                </c:pt>
                <c:pt idx="64">
                  <c:v>145978</c:v>
                </c:pt>
                <c:pt idx="65">
                  <c:v>147548</c:v>
                </c:pt>
                <c:pt idx="66">
                  <c:v>149118</c:v>
                </c:pt>
                <c:pt idx="67">
                  <c:v>150688</c:v>
                </c:pt>
                <c:pt idx="68">
                  <c:v>152258</c:v>
                </c:pt>
                <c:pt idx="69">
                  <c:v>153828</c:v>
                </c:pt>
                <c:pt idx="70">
                  <c:v>155398</c:v>
                </c:pt>
                <c:pt idx="71">
                  <c:v>156968</c:v>
                </c:pt>
                <c:pt idx="72">
                  <c:v>158538</c:v>
                </c:pt>
                <c:pt idx="73">
                  <c:v>160108</c:v>
                </c:pt>
                <c:pt idx="74">
                  <c:v>161678</c:v>
                </c:pt>
                <c:pt idx="75">
                  <c:v>163248</c:v>
                </c:pt>
                <c:pt idx="76">
                  <c:v>164818</c:v>
                </c:pt>
                <c:pt idx="77">
                  <c:v>166388</c:v>
                </c:pt>
                <c:pt idx="78">
                  <c:v>167958</c:v>
                </c:pt>
                <c:pt idx="79">
                  <c:v>169528</c:v>
                </c:pt>
                <c:pt idx="80">
                  <c:v>171098</c:v>
                </c:pt>
                <c:pt idx="81">
                  <c:v>172668</c:v>
                </c:pt>
                <c:pt idx="82">
                  <c:v>174238</c:v>
                </c:pt>
                <c:pt idx="83">
                  <c:v>175808</c:v>
                </c:pt>
                <c:pt idx="84">
                  <c:v>177378</c:v>
                </c:pt>
                <c:pt idx="85">
                  <c:v>178948</c:v>
                </c:pt>
                <c:pt idx="86">
                  <c:v>180518</c:v>
                </c:pt>
                <c:pt idx="87">
                  <c:v>182088</c:v>
                </c:pt>
                <c:pt idx="88">
                  <c:v>183658</c:v>
                </c:pt>
                <c:pt idx="89">
                  <c:v>185228</c:v>
                </c:pt>
                <c:pt idx="90">
                  <c:v>186798</c:v>
                </c:pt>
                <c:pt idx="91">
                  <c:v>188368</c:v>
                </c:pt>
                <c:pt idx="92">
                  <c:v>189938</c:v>
                </c:pt>
                <c:pt idx="93">
                  <c:v>191508</c:v>
                </c:pt>
                <c:pt idx="94">
                  <c:v>193078</c:v>
                </c:pt>
                <c:pt idx="95">
                  <c:v>194648</c:v>
                </c:pt>
                <c:pt idx="96">
                  <c:v>196218</c:v>
                </c:pt>
                <c:pt idx="97">
                  <c:v>197788</c:v>
                </c:pt>
                <c:pt idx="98">
                  <c:v>199358</c:v>
                </c:pt>
                <c:pt idx="99">
                  <c:v>200928</c:v>
                </c:pt>
                <c:pt idx="100">
                  <c:v>202498</c:v>
                </c:pt>
                <c:pt idx="101">
                  <c:v>204068</c:v>
                </c:pt>
                <c:pt idx="102">
                  <c:v>205638</c:v>
                </c:pt>
                <c:pt idx="103">
                  <c:v>207208</c:v>
                </c:pt>
                <c:pt idx="104">
                  <c:v>208778</c:v>
                </c:pt>
                <c:pt idx="105">
                  <c:v>210348</c:v>
                </c:pt>
                <c:pt idx="106">
                  <c:v>211918</c:v>
                </c:pt>
                <c:pt idx="107">
                  <c:v>213488</c:v>
                </c:pt>
                <c:pt idx="108">
                  <c:v>215058</c:v>
                </c:pt>
                <c:pt idx="109">
                  <c:v>216628</c:v>
                </c:pt>
                <c:pt idx="110">
                  <c:v>218198</c:v>
                </c:pt>
                <c:pt idx="111">
                  <c:v>219768</c:v>
                </c:pt>
                <c:pt idx="112">
                  <c:v>221338</c:v>
                </c:pt>
                <c:pt idx="113">
                  <c:v>222908</c:v>
                </c:pt>
                <c:pt idx="114">
                  <c:v>224478</c:v>
                </c:pt>
                <c:pt idx="115">
                  <c:v>226048</c:v>
                </c:pt>
                <c:pt idx="116">
                  <c:v>227618</c:v>
                </c:pt>
                <c:pt idx="117">
                  <c:v>229188</c:v>
                </c:pt>
                <c:pt idx="118">
                  <c:v>230758</c:v>
                </c:pt>
                <c:pt idx="119">
                  <c:v>232328</c:v>
                </c:pt>
                <c:pt idx="120">
                  <c:v>233898</c:v>
                </c:pt>
                <c:pt idx="121">
                  <c:v>235468</c:v>
                </c:pt>
                <c:pt idx="122">
                  <c:v>237038</c:v>
                </c:pt>
                <c:pt idx="123">
                  <c:v>238608</c:v>
                </c:pt>
                <c:pt idx="124">
                  <c:v>240178</c:v>
                </c:pt>
                <c:pt idx="125">
                  <c:v>241748</c:v>
                </c:pt>
                <c:pt idx="126">
                  <c:v>243318</c:v>
                </c:pt>
                <c:pt idx="127">
                  <c:v>244888</c:v>
                </c:pt>
                <c:pt idx="128">
                  <c:v>246458</c:v>
                </c:pt>
                <c:pt idx="129">
                  <c:v>248028</c:v>
                </c:pt>
                <c:pt idx="130">
                  <c:v>249598</c:v>
                </c:pt>
                <c:pt idx="131">
                  <c:v>251168</c:v>
                </c:pt>
                <c:pt idx="132">
                  <c:v>252738</c:v>
                </c:pt>
                <c:pt idx="133">
                  <c:v>254308</c:v>
                </c:pt>
                <c:pt idx="134">
                  <c:v>255878</c:v>
                </c:pt>
                <c:pt idx="135">
                  <c:v>257448</c:v>
                </c:pt>
                <c:pt idx="136">
                  <c:v>259018</c:v>
                </c:pt>
                <c:pt idx="137">
                  <c:v>260588</c:v>
                </c:pt>
                <c:pt idx="138">
                  <c:v>262158</c:v>
                </c:pt>
                <c:pt idx="139">
                  <c:v>263728</c:v>
                </c:pt>
                <c:pt idx="140">
                  <c:v>265298</c:v>
                </c:pt>
                <c:pt idx="141">
                  <c:v>266868</c:v>
                </c:pt>
                <c:pt idx="142">
                  <c:v>268438</c:v>
                </c:pt>
                <c:pt idx="143">
                  <c:v>270008</c:v>
                </c:pt>
                <c:pt idx="144">
                  <c:v>271578</c:v>
                </c:pt>
                <c:pt idx="145">
                  <c:v>273148</c:v>
                </c:pt>
                <c:pt idx="146">
                  <c:v>274718</c:v>
                </c:pt>
                <c:pt idx="147">
                  <c:v>276288</c:v>
                </c:pt>
                <c:pt idx="148">
                  <c:v>277858</c:v>
                </c:pt>
                <c:pt idx="149">
                  <c:v>279428</c:v>
                </c:pt>
                <c:pt idx="150">
                  <c:v>280998</c:v>
                </c:pt>
                <c:pt idx="151">
                  <c:v>282568</c:v>
                </c:pt>
                <c:pt idx="152">
                  <c:v>284138</c:v>
                </c:pt>
                <c:pt idx="153">
                  <c:v>285708</c:v>
                </c:pt>
                <c:pt idx="154">
                  <c:v>287278</c:v>
                </c:pt>
                <c:pt idx="155">
                  <c:v>288848</c:v>
                </c:pt>
                <c:pt idx="156">
                  <c:v>290418</c:v>
                </c:pt>
                <c:pt idx="157">
                  <c:v>291988</c:v>
                </c:pt>
                <c:pt idx="158">
                  <c:v>293558</c:v>
                </c:pt>
                <c:pt idx="159">
                  <c:v>295128</c:v>
                </c:pt>
                <c:pt idx="160">
                  <c:v>296698</c:v>
                </c:pt>
                <c:pt idx="161">
                  <c:v>298268</c:v>
                </c:pt>
                <c:pt idx="162">
                  <c:v>299838</c:v>
                </c:pt>
                <c:pt idx="163">
                  <c:v>301408</c:v>
                </c:pt>
                <c:pt idx="164">
                  <c:v>302978</c:v>
                </c:pt>
                <c:pt idx="165">
                  <c:v>304548</c:v>
                </c:pt>
                <c:pt idx="166">
                  <c:v>306118</c:v>
                </c:pt>
                <c:pt idx="167">
                  <c:v>307688</c:v>
                </c:pt>
                <c:pt idx="168">
                  <c:v>309258</c:v>
                </c:pt>
                <c:pt idx="169">
                  <c:v>310828</c:v>
                </c:pt>
                <c:pt idx="170">
                  <c:v>312398</c:v>
                </c:pt>
                <c:pt idx="171">
                  <c:v>313968</c:v>
                </c:pt>
                <c:pt idx="172">
                  <c:v>315538</c:v>
                </c:pt>
                <c:pt idx="173">
                  <c:v>317108</c:v>
                </c:pt>
                <c:pt idx="174">
                  <c:v>318678</c:v>
                </c:pt>
                <c:pt idx="175">
                  <c:v>320248</c:v>
                </c:pt>
                <c:pt idx="176">
                  <c:v>321818</c:v>
                </c:pt>
                <c:pt idx="177">
                  <c:v>323388</c:v>
                </c:pt>
                <c:pt idx="178">
                  <c:v>324958</c:v>
                </c:pt>
                <c:pt idx="179">
                  <c:v>326528</c:v>
                </c:pt>
                <c:pt idx="180">
                  <c:v>328098</c:v>
                </c:pt>
                <c:pt idx="181">
                  <c:v>329668</c:v>
                </c:pt>
                <c:pt idx="182">
                  <c:v>331238</c:v>
                </c:pt>
                <c:pt idx="183">
                  <c:v>332808</c:v>
                </c:pt>
                <c:pt idx="184">
                  <c:v>334378</c:v>
                </c:pt>
                <c:pt idx="185">
                  <c:v>335948</c:v>
                </c:pt>
                <c:pt idx="186">
                  <c:v>337518</c:v>
                </c:pt>
                <c:pt idx="187">
                  <c:v>339088</c:v>
                </c:pt>
                <c:pt idx="188">
                  <c:v>340658</c:v>
                </c:pt>
                <c:pt idx="189">
                  <c:v>342228</c:v>
                </c:pt>
                <c:pt idx="190">
                  <c:v>343798</c:v>
                </c:pt>
                <c:pt idx="191">
                  <c:v>345368</c:v>
                </c:pt>
                <c:pt idx="192">
                  <c:v>346938</c:v>
                </c:pt>
                <c:pt idx="193">
                  <c:v>348508</c:v>
                </c:pt>
                <c:pt idx="194">
                  <c:v>350078</c:v>
                </c:pt>
                <c:pt idx="195">
                  <c:v>351648</c:v>
                </c:pt>
                <c:pt idx="196">
                  <c:v>353218</c:v>
                </c:pt>
                <c:pt idx="197">
                  <c:v>354788</c:v>
                </c:pt>
                <c:pt idx="198">
                  <c:v>356358</c:v>
                </c:pt>
                <c:pt idx="199">
                  <c:v>357928</c:v>
                </c:pt>
                <c:pt idx="200">
                  <c:v>359498</c:v>
                </c:pt>
                <c:pt idx="201">
                  <c:v>361068</c:v>
                </c:pt>
                <c:pt idx="202">
                  <c:v>362638</c:v>
                </c:pt>
                <c:pt idx="203">
                  <c:v>364208</c:v>
                </c:pt>
                <c:pt idx="204">
                  <c:v>365778</c:v>
                </c:pt>
                <c:pt idx="205">
                  <c:v>367348</c:v>
                </c:pt>
                <c:pt idx="206">
                  <c:v>368918</c:v>
                </c:pt>
                <c:pt idx="207">
                  <c:v>370488</c:v>
                </c:pt>
                <c:pt idx="208">
                  <c:v>372058</c:v>
                </c:pt>
                <c:pt idx="209">
                  <c:v>373628</c:v>
                </c:pt>
                <c:pt idx="210">
                  <c:v>375198</c:v>
                </c:pt>
                <c:pt idx="211">
                  <c:v>376768</c:v>
                </c:pt>
                <c:pt idx="212">
                  <c:v>378338</c:v>
                </c:pt>
                <c:pt idx="213">
                  <c:v>379908</c:v>
                </c:pt>
                <c:pt idx="214">
                  <c:v>381478</c:v>
                </c:pt>
                <c:pt idx="215">
                  <c:v>383048</c:v>
                </c:pt>
                <c:pt idx="216">
                  <c:v>384618</c:v>
                </c:pt>
                <c:pt idx="217">
                  <c:v>386188</c:v>
                </c:pt>
                <c:pt idx="218">
                  <c:v>387758</c:v>
                </c:pt>
                <c:pt idx="219">
                  <c:v>389328</c:v>
                </c:pt>
                <c:pt idx="220">
                  <c:v>390898</c:v>
                </c:pt>
                <c:pt idx="221">
                  <c:v>392468</c:v>
                </c:pt>
                <c:pt idx="222">
                  <c:v>394038</c:v>
                </c:pt>
                <c:pt idx="223">
                  <c:v>395608</c:v>
                </c:pt>
                <c:pt idx="224">
                  <c:v>397178</c:v>
                </c:pt>
                <c:pt idx="225">
                  <c:v>398748</c:v>
                </c:pt>
                <c:pt idx="226">
                  <c:v>400318</c:v>
                </c:pt>
                <c:pt idx="227">
                  <c:v>401888</c:v>
                </c:pt>
                <c:pt idx="228">
                  <c:v>403458</c:v>
                </c:pt>
                <c:pt idx="229">
                  <c:v>405028</c:v>
                </c:pt>
                <c:pt idx="230">
                  <c:v>406598</c:v>
                </c:pt>
                <c:pt idx="231">
                  <c:v>408168</c:v>
                </c:pt>
                <c:pt idx="232">
                  <c:v>409738</c:v>
                </c:pt>
                <c:pt idx="233">
                  <c:v>411308</c:v>
                </c:pt>
                <c:pt idx="234">
                  <c:v>412878</c:v>
                </c:pt>
                <c:pt idx="235">
                  <c:v>414448</c:v>
                </c:pt>
                <c:pt idx="236">
                  <c:v>416018</c:v>
                </c:pt>
                <c:pt idx="237">
                  <c:v>417588</c:v>
                </c:pt>
                <c:pt idx="238">
                  <c:v>419158</c:v>
                </c:pt>
                <c:pt idx="239">
                  <c:v>420728</c:v>
                </c:pt>
                <c:pt idx="240">
                  <c:v>422298</c:v>
                </c:pt>
                <c:pt idx="241">
                  <c:v>423868</c:v>
                </c:pt>
                <c:pt idx="242">
                  <c:v>425438</c:v>
                </c:pt>
                <c:pt idx="243">
                  <c:v>427008</c:v>
                </c:pt>
                <c:pt idx="244">
                  <c:v>428578</c:v>
                </c:pt>
                <c:pt idx="245">
                  <c:v>430148</c:v>
                </c:pt>
                <c:pt idx="246">
                  <c:v>431718</c:v>
                </c:pt>
                <c:pt idx="247">
                  <c:v>433288</c:v>
                </c:pt>
                <c:pt idx="248">
                  <c:v>434858</c:v>
                </c:pt>
                <c:pt idx="249">
                  <c:v>436428</c:v>
                </c:pt>
                <c:pt idx="250">
                  <c:v>437998</c:v>
                </c:pt>
                <c:pt idx="251">
                  <c:v>439568</c:v>
                </c:pt>
                <c:pt idx="252">
                  <c:v>441138</c:v>
                </c:pt>
                <c:pt idx="253">
                  <c:v>442708</c:v>
                </c:pt>
                <c:pt idx="254">
                  <c:v>444278</c:v>
                </c:pt>
                <c:pt idx="255">
                  <c:v>445848</c:v>
                </c:pt>
                <c:pt idx="256">
                  <c:v>447418</c:v>
                </c:pt>
                <c:pt idx="257">
                  <c:v>448988</c:v>
                </c:pt>
                <c:pt idx="258">
                  <c:v>450558</c:v>
                </c:pt>
                <c:pt idx="259">
                  <c:v>452128</c:v>
                </c:pt>
                <c:pt idx="260">
                  <c:v>453698</c:v>
                </c:pt>
                <c:pt idx="261">
                  <c:v>455268</c:v>
                </c:pt>
                <c:pt idx="262">
                  <c:v>456838</c:v>
                </c:pt>
                <c:pt idx="263">
                  <c:v>458408</c:v>
                </c:pt>
                <c:pt idx="264">
                  <c:v>459978</c:v>
                </c:pt>
                <c:pt idx="265">
                  <c:v>461548</c:v>
                </c:pt>
                <c:pt idx="266">
                  <c:v>463118</c:v>
                </c:pt>
                <c:pt idx="267">
                  <c:v>464688</c:v>
                </c:pt>
                <c:pt idx="268">
                  <c:v>466258</c:v>
                </c:pt>
                <c:pt idx="269">
                  <c:v>467828</c:v>
                </c:pt>
                <c:pt idx="270">
                  <c:v>469398</c:v>
                </c:pt>
                <c:pt idx="271">
                  <c:v>470968</c:v>
                </c:pt>
                <c:pt idx="272">
                  <c:v>472538</c:v>
                </c:pt>
                <c:pt idx="273">
                  <c:v>474108</c:v>
                </c:pt>
                <c:pt idx="274">
                  <c:v>475678</c:v>
                </c:pt>
                <c:pt idx="275">
                  <c:v>477248</c:v>
                </c:pt>
                <c:pt idx="276">
                  <c:v>478818</c:v>
                </c:pt>
                <c:pt idx="277">
                  <c:v>480388</c:v>
                </c:pt>
                <c:pt idx="278">
                  <c:v>481958</c:v>
                </c:pt>
                <c:pt idx="279">
                  <c:v>483528</c:v>
                </c:pt>
                <c:pt idx="280">
                  <c:v>485098</c:v>
                </c:pt>
                <c:pt idx="281">
                  <c:v>486668</c:v>
                </c:pt>
                <c:pt idx="282">
                  <c:v>488238</c:v>
                </c:pt>
                <c:pt idx="283">
                  <c:v>489808</c:v>
                </c:pt>
                <c:pt idx="284">
                  <c:v>491378</c:v>
                </c:pt>
                <c:pt idx="285">
                  <c:v>492948</c:v>
                </c:pt>
                <c:pt idx="286">
                  <c:v>494518</c:v>
                </c:pt>
                <c:pt idx="287">
                  <c:v>496088</c:v>
                </c:pt>
                <c:pt idx="288">
                  <c:v>497658</c:v>
                </c:pt>
                <c:pt idx="289">
                  <c:v>499228</c:v>
                </c:pt>
                <c:pt idx="290">
                  <c:v>500798</c:v>
                </c:pt>
                <c:pt idx="291">
                  <c:v>502368</c:v>
                </c:pt>
                <c:pt idx="292">
                  <c:v>503938</c:v>
                </c:pt>
                <c:pt idx="293">
                  <c:v>505508</c:v>
                </c:pt>
                <c:pt idx="294">
                  <c:v>507078</c:v>
                </c:pt>
                <c:pt idx="295">
                  <c:v>508648</c:v>
                </c:pt>
                <c:pt idx="296">
                  <c:v>510218</c:v>
                </c:pt>
                <c:pt idx="297">
                  <c:v>511788</c:v>
                </c:pt>
                <c:pt idx="298">
                  <c:v>513358</c:v>
                </c:pt>
                <c:pt idx="299">
                  <c:v>514928</c:v>
                </c:pt>
                <c:pt idx="300">
                  <c:v>516498</c:v>
                </c:pt>
                <c:pt idx="301">
                  <c:v>518068</c:v>
                </c:pt>
                <c:pt idx="302">
                  <c:v>519638</c:v>
                </c:pt>
                <c:pt idx="303">
                  <c:v>521208</c:v>
                </c:pt>
                <c:pt idx="304">
                  <c:v>522778</c:v>
                </c:pt>
                <c:pt idx="305">
                  <c:v>524348</c:v>
                </c:pt>
                <c:pt idx="306">
                  <c:v>525918</c:v>
                </c:pt>
                <c:pt idx="307">
                  <c:v>527488</c:v>
                </c:pt>
                <c:pt idx="308">
                  <c:v>529058</c:v>
                </c:pt>
                <c:pt idx="309">
                  <c:v>530628</c:v>
                </c:pt>
                <c:pt idx="310">
                  <c:v>532198</c:v>
                </c:pt>
                <c:pt idx="311">
                  <c:v>533768</c:v>
                </c:pt>
                <c:pt idx="312">
                  <c:v>535338</c:v>
                </c:pt>
                <c:pt idx="313">
                  <c:v>536908</c:v>
                </c:pt>
                <c:pt idx="314">
                  <c:v>538478</c:v>
                </c:pt>
                <c:pt idx="315">
                  <c:v>540048</c:v>
                </c:pt>
                <c:pt idx="316">
                  <c:v>541618</c:v>
                </c:pt>
                <c:pt idx="317">
                  <c:v>543188</c:v>
                </c:pt>
                <c:pt idx="318">
                  <c:v>544758</c:v>
                </c:pt>
                <c:pt idx="319">
                  <c:v>546328</c:v>
                </c:pt>
                <c:pt idx="320">
                  <c:v>547898</c:v>
                </c:pt>
                <c:pt idx="321">
                  <c:v>549468</c:v>
                </c:pt>
                <c:pt idx="322">
                  <c:v>551038</c:v>
                </c:pt>
                <c:pt idx="323">
                  <c:v>552608</c:v>
                </c:pt>
                <c:pt idx="324">
                  <c:v>554178</c:v>
                </c:pt>
                <c:pt idx="325">
                  <c:v>555748</c:v>
                </c:pt>
                <c:pt idx="326">
                  <c:v>557318</c:v>
                </c:pt>
                <c:pt idx="327">
                  <c:v>558888</c:v>
                </c:pt>
                <c:pt idx="328">
                  <c:v>560458</c:v>
                </c:pt>
                <c:pt idx="329">
                  <c:v>562028</c:v>
                </c:pt>
                <c:pt idx="330">
                  <c:v>563598</c:v>
                </c:pt>
                <c:pt idx="331">
                  <c:v>565168</c:v>
                </c:pt>
                <c:pt idx="332">
                  <c:v>566738</c:v>
                </c:pt>
                <c:pt idx="333">
                  <c:v>568308</c:v>
                </c:pt>
                <c:pt idx="334">
                  <c:v>569878</c:v>
                </c:pt>
                <c:pt idx="335">
                  <c:v>571448</c:v>
                </c:pt>
                <c:pt idx="336">
                  <c:v>573018</c:v>
                </c:pt>
                <c:pt idx="337">
                  <c:v>574588</c:v>
                </c:pt>
                <c:pt idx="338">
                  <c:v>576158</c:v>
                </c:pt>
                <c:pt idx="339">
                  <c:v>577728</c:v>
                </c:pt>
                <c:pt idx="340">
                  <c:v>579298</c:v>
                </c:pt>
                <c:pt idx="341">
                  <c:v>580868</c:v>
                </c:pt>
                <c:pt idx="342">
                  <c:v>582438</c:v>
                </c:pt>
                <c:pt idx="343">
                  <c:v>584008</c:v>
                </c:pt>
                <c:pt idx="344">
                  <c:v>585578</c:v>
                </c:pt>
                <c:pt idx="345">
                  <c:v>587148</c:v>
                </c:pt>
                <c:pt idx="346">
                  <c:v>588718</c:v>
                </c:pt>
                <c:pt idx="347">
                  <c:v>590288</c:v>
                </c:pt>
                <c:pt idx="348">
                  <c:v>591858</c:v>
                </c:pt>
                <c:pt idx="349">
                  <c:v>593428</c:v>
                </c:pt>
                <c:pt idx="350">
                  <c:v>594998</c:v>
                </c:pt>
                <c:pt idx="351">
                  <c:v>596568</c:v>
                </c:pt>
                <c:pt idx="352">
                  <c:v>598138</c:v>
                </c:pt>
                <c:pt idx="353">
                  <c:v>599708</c:v>
                </c:pt>
                <c:pt idx="354">
                  <c:v>601278</c:v>
                </c:pt>
                <c:pt idx="355">
                  <c:v>602848</c:v>
                </c:pt>
                <c:pt idx="356">
                  <c:v>604418</c:v>
                </c:pt>
                <c:pt idx="357">
                  <c:v>605988</c:v>
                </c:pt>
                <c:pt idx="358">
                  <c:v>607558</c:v>
                </c:pt>
                <c:pt idx="359">
                  <c:v>609128</c:v>
                </c:pt>
                <c:pt idx="360">
                  <c:v>610698</c:v>
                </c:pt>
                <c:pt idx="361">
                  <c:v>612268</c:v>
                </c:pt>
                <c:pt idx="362">
                  <c:v>613838</c:v>
                </c:pt>
                <c:pt idx="363">
                  <c:v>615408</c:v>
                </c:pt>
                <c:pt idx="364">
                  <c:v>616978</c:v>
                </c:pt>
                <c:pt idx="365">
                  <c:v>618548</c:v>
                </c:pt>
                <c:pt idx="366">
                  <c:v>620118</c:v>
                </c:pt>
                <c:pt idx="367">
                  <c:v>621688</c:v>
                </c:pt>
                <c:pt idx="368">
                  <c:v>623258</c:v>
                </c:pt>
                <c:pt idx="369">
                  <c:v>624811</c:v>
                </c:pt>
                <c:pt idx="370">
                  <c:v>626390</c:v>
                </c:pt>
                <c:pt idx="371">
                  <c:v>627996</c:v>
                </c:pt>
                <c:pt idx="372">
                  <c:v>629631</c:v>
                </c:pt>
                <c:pt idx="373">
                  <c:v>631297</c:v>
                </c:pt>
                <c:pt idx="374">
                  <c:v>632995</c:v>
                </c:pt>
                <c:pt idx="375">
                  <c:v>634727</c:v>
                </c:pt>
                <c:pt idx="376">
                  <c:v>636496</c:v>
                </c:pt>
                <c:pt idx="377">
                  <c:v>638304</c:v>
                </c:pt>
                <c:pt idx="378">
                  <c:v>640153</c:v>
                </c:pt>
                <c:pt idx="379">
                  <c:v>642047</c:v>
                </c:pt>
                <c:pt idx="380">
                  <c:v>643989</c:v>
                </c:pt>
                <c:pt idx="381">
                  <c:v>645983</c:v>
                </c:pt>
                <c:pt idx="382">
                  <c:v>648033</c:v>
                </c:pt>
                <c:pt idx="383">
                  <c:v>650144</c:v>
                </c:pt>
                <c:pt idx="384">
                  <c:v>652322</c:v>
                </c:pt>
                <c:pt idx="385">
                  <c:v>654574</c:v>
                </c:pt>
                <c:pt idx="386">
                  <c:v>656908</c:v>
                </c:pt>
                <c:pt idx="387">
                  <c:v>659333</c:v>
                </c:pt>
                <c:pt idx="388">
                  <c:v>661862</c:v>
                </c:pt>
                <c:pt idx="389">
                  <c:v>664508</c:v>
                </c:pt>
                <c:pt idx="390">
                  <c:v>667290</c:v>
                </c:pt>
                <c:pt idx="391">
                  <c:v>670231</c:v>
                </c:pt>
                <c:pt idx="392">
                  <c:v>673362</c:v>
                </c:pt>
                <c:pt idx="393">
                  <c:v>676725</c:v>
                </c:pt>
                <c:pt idx="394">
                  <c:v>680380</c:v>
                </c:pt>
                <c:pt idx="395">
                  <c:v>684420</c:v>
                </c:pt>
                <c:pt idx="396">
                  <c:v>688999</c:v>
                </c:pt>
                <c:pt idx="397">
                  <c:v>694411</c:v>
                </c:pt>
                <c:pt idx="398">
                  <c:v>701370</c:v>
                </c:pt>
                <c:pt idx="399">
                  <c:v>712968</c:v>
                </c:pt>
              </c:numCache>
            </c:numRef>
          </c:xVal>
          <c:yVal>
            <c:numRef>
              <c:f>stepmoto1!$O$2:$O$401</c:f>
              <c:numCache>
                <c:formatCode>General</c:formatCode>
                <c:ptCount val="400"/>
                <c:pt idx="0">
                  <c:v>2.6256498119515248</c:v>
                </c:pt>
                <c:pt idx="1">
                  <c:v>4.3760830199192089</c:v>
                </c:pt>
                <c:pt idx="2">
                  <c:v>5.6260565902578783</c:v>
                </c:pt>
                <c:pt idx="3">
                  <c:v>6.6488677248677241</c:v>
                </c:pt>
                <c:pt idx="4">
                  <c:v>7.5355960662029258</c:v>
                </c:pt>
                <c:pt idx="5">
                  <c:v>8.3287115588547174</c:v>
                </c:pt>
                <c:pt idx="6">
                  <c:v>9.0509651397291826</c:v>
                </c:pt>
                <c:pt idx="7">
                  <c:v>9.7232745280099024</c:v>
                </c:pt>
                <c:pt idx="8">
                  <c:v>10.347793148880104</c:v>
                </c:pt>
                <c:pt idx="9">
                  <c:v>10.938683844011141</c:v>
                </c:pt>
                <c:pt idx="10">
                  <c:v>11.499231332357246</c:v>
                </c:pt>
                <c:pt idx="11">
                  <c:v>12.036743295019157</c:v>
                </c:pt>
                <c:pt idx="12">
                  <c:v>12.546285942492011</c:v>
                </c:pt>
                <c:pt idx="13">
                  <c:v>13.041054379410541</c:v>
                </c:pt>
                <c:pt idx="14">
                  <c:v>13.512215053763441</c:v>
                </c:pt>
                <c:pt idx="15">
                  <c:v>13.968830591373942</c:v>
                </c:pt>
                <c:pt idx="16">
                  <c:v>14.417576870123909</c:v>
                </c:pt>
                <c:pt idx="17">
                  <c:v>14.846833648393194</c:v>
                </c:pt>
                <c:pt idx="18">
                  <c:v>15.26525753158406</c:v>
                </c:pt>
                <c:pt idx="19">
                  <c:v>15.668778054862843</c:v>
                </c:pt>
                <c:pt idx="20">
                  <c:v>16.069514066496161</c:v>
                </c:pt>
                <c:pt idx="21">
                  <c:v>16.456731272917754</c:v>
                </c:pt>
                <c:pt idx="22">
                  <c:v>16.826941617568291</c:v>
                </c:pt>
                <c:pt idx="23">
                  <c:v>17.204764512595837</c:v>
                </c:pt>
                <c:pt idx="24">
                  <c:v>17.560592509781998</c:v>
                </c:pt>
                <c:pt idx="25">
                  <c:v>17.921220764403877</c:v>
                </c:pt>
                <c:pt idx="26">
                  <c:v>18.265058139534883</c:v>
                </c:pt>
                <c:pt idx="27">
                  <c:v>18.611315165876775</c:v>
                </c:pt>
                <c:pt idx="28">
                  <c:v>18.936648583484022</c:v>
                </c:pt>
                <c:pt idx="29">
                  <c:v>19.273558282208587</c:v>
                </c:pt>
                <c:pt idx="30">
                  <c:v>19.598190892077351</c:v>
                </c:pt>
                <c:pt idx="31">
                  <c:v>19.908681875792141</c:v>
                </c:pt>
                <c:pt idx="32">
                  <c:v>20.010127388535029</c:v>
                </c:pt>
                <c:pt idx="33">
                  <c:v>20.010127388535029</c:v>
                </c:pt>
                <c:pt idx="34">
                  <c:v>20.010127388535029</c:v>
                </c:pt>
                <c:pt idx="35">
                  <c:v>20.010127388535029</c:v>
                </c:pt>
                <c:pt idx="36">
                  <c:v>20.010127388535029</c:v>
                </c:pt>
                <c:pt idx="37">
                  <c:v>20.010127388535029</c:v>
                </c:pt>
                <c:pt idx="38">
                  <c:v>20.010127388535029</c:v>
                </c:pt>
                <c:pt idx="39">
                  <c:v>20.010127388535029</c:v>
                </c:pt>
                <c:pt idx="40">
                  <c:v>20.010127388535029</c:v>
                </c:pt>
                <c:pt idx="41">
                  <c:v>20.010127388535029</c:v>
                </c:pt>
                <c:pt idx="42">
                  <c:v>20.010127388535029</c:v>
                </c:pt>
                <c:pt idx="43">
                  <c:v>20.010127388535029</c:v>
                </c:pt>
                <c:pt idx="44">
                  <c:v>20.010127388535029</c:v>
                </c:pt>
                <c:pt idx="45">
                  <c:v>20.010127388535029</c:v>
                </c:pt>
                <c:pt idx="46">
                  <c:v>20.010127388535029</c:v>
                </c:pt>
                <c:pt idx="47">
                  <c:v>20.010127388535029</c:v>
                </c:pt>
                <c:pt idx="48">
                  <c:v>20.010127388535029</c:v>
                </c:pt>
                <c:pt idx="49">
                  <c:v>20.010127388535029</c:v>
                </c:pt>
                <c:pt idx="50">
                  <c:v>20.010127388535029</c:v>
                </c:pt>
                <c:pt idx="51">
                  <c:v>20.010127388535029</c:v>
                </c:pt>
                <c:pt idx="52">
                  <c:v>20.010127388535029</c:v>
                </c:pt>
                <c:pt idx="53">
                  <c:v>20.010127388535029</c:v>
                </c:pt>
                <c:pt idx="54">
                  <c:v>20.010127388535029</c:v>
                </c:pt>
                <c:pt idx="55">
                  <c:v>20.010127388535029</c:v>
                </c:pt>
                <c:pt idx="56">
                  <c:v>20.010127388535029</c:v>
                </c:pt>
                <c:pt idx="57">
                  <c:v>20.010127388535029</c:v>
                </c:pt>
                <c:pt idx="58">
                  <c:v>20.010127388535029</c:v>
                </c:pt>
                <c:pt idx="59">
                  <c:v>20.010127388535029</c:v>
                </c:pt>
                <c:pt idx="60">
                  <c:v>20.010127388535029</c:v>
                </c:pt>
                <c:pt idx="61">
                  <c:v>20.010127388535029</c:v>
                </c:pt>
                <c:pt idx="62">
                  <c:v>20.010127388535029</c:v>
                </c:pt>
                <c:pt idx="63">
                  <c:v>20.010127388535029</c:v>
                </c:pt>
                <c:pt idx="64">
                  <c:v>20.010127388535029</c:v>
                </c:pt>
                <c:pt idx="65">
                  <c:v>20.010127388535029</c:v>
                </c:pt>
                <c:pt idx="66">
                  <c:v>20.010127388535029</c:v>
                </c:pt>
                <c:pt idx="67">
                  <c:v>20.010127388535029</c:v>
                </c:pt>
                <c:pt idx="68">
                  <c:v>20.010127388535029</c:v>
                </c:pt>
                <c:pt idx="69">
                  <c:v>20.010127388535029</c:v>
                </c:pt>
                <c:pt idx="70">
                  <c:v>20.010127388535029</c:v>
                </c:pt>
                <c:pt idx="71">
                  <c:v>20.010127388535029</c:v>
                </c:pt>
                <c:pt idx="72">
                  <c:v>20.010127388535029</c:v>
                </c:pt>
                <c:pt idx="73">
                  <c:v>20.010127388535029</c:v>
                </c:pt>
                <c:pt idx="74">
                  <c:v>20.010127388535029</c:v>
                </c:pt>
                <c:pt idx="75">
                  <c:v>20.010127388535029</c:v>
                </c:pt>
                <c:pt idx="76">
                  <c:v>20.010127388535029</c:v>
                </c:pt>
                <c:pt idx="77">
                  <c:v>20.010127388535029</c:v>
                </c:pt>
                <c:pt idx="78">
                  <c:v>20.010127388535029</c:v>
                </c:pt>
                <c:pt idx="79">
                  <c:v>20.010127388535029</c:v>
                </c:pt>
                <c:pt idx="80">
                  <c:v>20.010127388535029</c:v>
                </c:pt>
                <c:pt idx="81">
                  <c:v>20.010127388535029</c:v>
                </c:pt>
                <c:pt idx="82">
                  <c:v>20.010127388535029</c:v>
                </c:pt>
                <c:pt idx="83">
                  <c:v>20.010127388535029</c:v>
                </c:pt>
                <c:pt idx="84">
                  <c:v>20.010127388535029</c:v>
                </c:pt>
                <c:pt idx="85">
                  <c:v>20.010127388535029</c:v>
                </c:pt>
                <c:pt idx="86">
                  <c:v>20.010127388535029</c:v>
                </c:pt>
                <c:pt idx="87">
                  <c:v>20.010127388535029</c:v>
                </c:pt>
                <c:pt idx="88">
                  <c:v>20.010127388535029</c:v>
                </c:pt>
                <c:pt idx="89">
                  <c:v>20.010127388535029</c:v>
                </c:pt>
                <c:pt idx="90">
                  <c:v>20.010127388535029</c:v>
                </c:pt>
                <c:pt idx="91">
                  <c:v>20.010127388535029</c:v>
                </c:pt>
                <c:pt idx="92">
                  <c:v>20.010127388535029</c:v>
                </c:pt>
                <c:pt idx="93">
                  <c:v>20.010127388535029</c:v>
                </c:pt>
                <c:pt idx="94">
                  <c:v>20.010127388535029</c:v>
                </c:pt>
                <c:pt idx="95">
                  <c:v>20.010127388535029</c:v>
                </c:pt>
                <c:pt idx="96">
                  <c:v>20.010127388535029</c:v>
                </c:pt>
                <c:pt idx="97">
                  <c:v>20.010127388535029</c:v>
                </c:pt>
                <c:pt idx="98">
                  <c:v>20.010127388535029</c:v>
                </c:pt>
                <c:pt idx="99">
                  <c:v>20.010127388535029</c:v>
                </c:pt>
                <c:pt idx="100">
                  <c:v>20.010127388535029</c:v>
                </c:pt>
                <c:pt idx="101">
                  <c:v>20.010127388535029</c:v>
                </c:pt>
                <c:pt idx="102">
                  <c:v>20.010127388535029</c:v>
                </c:pt>
                <c:pt idx="103">
                  <c:v>20.010127388535029</c:v>
                </c:pt>
                <c:pt idx="104">
                  <c:v>20.010127388535029</c:v>
                </c:pt>
                <c:pt idx="105">
                  <c:v>20.010127388535029</c:v>
                </c:pt>
                <c:pt idx="106">
                  <c:v>20.010127388535029</c:v>
                </c:pt>
                <c:pt idx="107">
                  <c:v>20.010127388535029</c:v>
                </c:pt>
                <c:pt idx="108">
                  <c:v>20.010127388535029</c:v>
                </c:pt>
                <c:pt idx="109">
                  <c:v>20.010127388535029</c:v>
                </c:pt>
                <c:pt idx="110">
                  <c:v>20.010127388535029</c:v>
                </c:pt>
                <c:pt idx="111">
                  <c:v>20.010127388535029</c:v>
                </c:pt>
                <c:pt idx="112">
                  <c:v>20.010127388535029</c:v>
                </c:pt>
                <c:pt idx="113">
                  <c:v>20.010127388535029</c:v>
                </c:pt>
                <c:pt idx="114">
                  <c:v>20.010127388535029</c:v>
                </c:pt>
                <c:pt idx="115">
                  <c:v>20.010127388535029</c:v>
                </c:pt>
                <c:pt idx="116">
                  <c:v>20.010127388535029</c:v>
                </c:pt>
                <c:pt idx="117">
                  <c:v>20.010127388535029</c:v>
                </c:pt>
                <c:pt idx="118">
                  <c:v>20.010127388535029</c:v>
                </c:pt>
                <c:pt idx="119">
                  <c:v>20.010127388535029</c:v>
                </c:pt>
                <c:pt idx="120">
                  <c:v>20.010127388535029</c:v>
                </c:pt>
                <c:pt idx="121">
                  <c:v>20.010127388535029</c:v>
                </c:pt>
                <c:pt idx="122">
                  <c:v>20.010127388535029</c:v>
                </c:pt>
                <c:pt idx="123">
                  <c:v>20.010127388535029</c:v>
                </c:pt>
                <c:pt idx="124">
                  <c:v>20.010127388535029</c:v>
                </c:pt>
                <c:pt idx="125">
                  <c:v>20.010127388535029</c:v>
                </c:pt>
                <c:pt idx="126">
                  <c:v>20.010127388535029</c:v>
                </c:pt>
                <c:pt idx="127">
                  <c:v>20.010127388535029</c:v>
                </c:pt>
                <c:pt idx="128">
                  <c:v>20.010127388535029</c:v>
                </c:pt>
                <c:pt idx="129">
                  <c:v>20.010127388535029</c:v>
                </c:pt>
                <c:pt idx="130">
                  <c:v>20.010127388535029</c:v>
                </c:pt>
                <c:pt idx="131">
                  <c:v>20.010127388535029</c:v>
                </c:pt>
                <c:pt idx="132">
                  <c:v>20.010127388535029</c:v>
                </c:pt>
                <c:pt idx="133">
                  <c:v>20.010127388535029</c:v>
                </c:pt>
                <c:pt idx="134">
                  <c:v>20.010127388535029</c:v>
                </c:pt>
                <c:pt idx="135">
                  <c:v>20.010127388535029</c:v>
                </c:pt>
                <c:pt idx="136">
                  <c:v>20.010127388535029</c:v>
                </c:pt>
                <c:pt idx="137">
                  <c:v>20.010127388535029</c:v>
                </c:pt>
                <c:pt idx="138">
                  <c:v>20.010127388535029</c:v>
                </c:pt>
                <c:pt idx="139">
                  <c:v>20.010127388535029</c:v>
                </c:pt>
                <c:pt idx="140">
                  <c:v>20.010127388535029</c:v>
                </c:pt>
                <c:pt idx="141">
                  <c:v>20.010127388535029</c:v>
                </c:pt>
                <c:pt idx="142">
                  <c:v>20.010127388535029</c:v>
                </c:pt>
                <c:pt idx="143">
                  <c:v>20.010127388535029</c:v>
                </c:pt>
                <c:pt idx="144">
                  <c:v>20.010127388535029</c:v>
                </c:pt>
                <c:pt idx="145">
                  <c:v>20.010127388535029</c:v>
                </c:pt>
                <c:pt idx="146">
                  <c:v>20.010127388535029</c:v>
                </c:pt>
                <c:pt idx="147">
                  <c:v>20.010127388535029</c:v>
                </c:pt>
                <c:pt idx="148">
                  <c:v>20.010127388535029</c:v>
                </c:pt>
                <c:pt idx="149">
                  <c:v>20.010127388535029</c:v>
                </c:pt>
                <c:pt idx="150">
                  <c:v>20.010127388535029</c:v>
                </c:pt>
                <c:pt idx="151">
                  <c:v>20.010127388535029</c:v>
                </c:pt>
                <c:pt idx="152">
                  <c:v>20.010127388535029</c:v>
                </c:pt>
                <c:pt idx="153">
                  <c:v>20.010127388535029</c:v>
                </c:pt>
                <c:pt idx="154">
                  <c:v>20.010127388535029</c:v>
                </c:pt>
                <c:pt idx="155">
                  <c:v>20.010127388535029</c:v>
                </c:pt>
                <c:pt idx="156">
                  <c:v>20.010127388535029</c:v>
                </c:pt>
                <c:pt idx="157">
                  <c:v>20.010127388535029</c:v>
                </c:pt>
                <c:pt idx="158">
                  <c:v>20.010127388535029</c:v>
                </c:pt>
                <c:pt idx="159">
                  <c:v>20.010127388535029</c:v>
                </c:pt>
                <c:pt idx="160">
                  <c:v>20.010127388535029</c:v>
                </c:pt>
                <c:pt idx="161">
                  <c:v>20.010127388535029</c:v>
                </c:pt>
                <c:pt idx="162">
                  <c:v>20.010127388535029</c:v>
                </c:pt>
                <c:pt idx="163">
                  <c:v>20.010127388535029</c:v>
                </c:pt>
                <c:pt idx="164">
                  <c:v>20.010127388535029</c:v>
                </c:pt>
                <c:pt idx="165">
                  <c:v>20.010127388535029</c:v>
                </c:pt>
                <c:pt idx="166">
                  <c:v>20.010127388535029</c:v>
                </c:pt>
                <c:pt idx="167">
                  <c:v>20.010127388535029</c:v>
                </c:pt>
                <c:pt idx="168">
                  <c:v>20.010127388535029</c:v>
                </c:pt>
                <c:pt idx="169">
                  <c:v>20.010127388535029</c:v>
                </c:pt>
                <c:pt idx="170">
                  <c:v>20.010127388535029</c:v>
                </c:pt>
                <c:pt idx="171">
                  <c:v>20.010127388535029</c:v>
                </c:pt>
                <c:pt idx="172">
                  <c:v>20.010127388535029</c:v>
                </c:pt>
                <c:pt idx="173">
                  <c:v>20.010127388535029</c:v>
                </c:pt>
                <c:pt idx="174">
                  <c:v>20.010127388535029</c:v>
                </c:pt>
                <c:pt idx="175">
                  <c:v>20.010127388535029</c:v>
                </c:pt>
                <c:pt idx="176">
                  <c:v>20.010127388535029</c:v>
                </c:pt>
                <c:pt idx="177">
                  <c:v>20.010127388535029</c:v>
                </c:pt>
                <c:pt idx="178">
                  <c:v>20.010127388535029</c:v>
                </c:pt>
                <c:pt idx="179">
                  <c:v>20.010127388535029</c:v>
                </c:pt>
                <c:pt idx="180">
                  <c:v>20.010127388535029</c:v>
                </c:pt>
                <c:pt idx="181">
                  <c:v>20.010127388535029</c:v>
                </c:pt>
                <c:pt idx="182">
                  <c:v>20.010127388535029</c:v>
                </c:pt>
                <c:pt idx="183">
                  <c:v>20.010127388535029</c:v>
                </c:pt>
                <c:pt idx="184">
                  <c:v>20.010127388535029</c:v>
                </c:pt>
                <c:pt idx="185">
                  <c:v>20.010127388535029</c:v>
                </c:pt>
                <c:pt idx="186">
                  <c:v>20.010127388535029</c:v>
                </c:pt>
                <c:pt idx="187">
                  <c:v>20.010127388535029</c:v>
                </c:pt>
                <c:pt idx="188">
                  <c:v>20.010127388535029</c:v>
                </c:pt>
                <c:pt idx="189">
                  <c:v>20.010127388535029</c:v>
                </c:pt>
                <c:pt idx="190">
                  <c:v>20.010127388535029</c:v>
                </c:pt>
                <c:pt idx="191">
                  <c:v>20.010127388535029</c:v>
                </c:pt>
                <c:pt idx="192">
                  <c:v>20.010127388535029</c:v>
                </c:pt>
                <c:pt idx="193">
                  <c:v>20.010127388535029</c:v>
                </c:pt>
                <c:pt idx="194">
                  <c:v>20.010127388535029</c:v>
                </c:pt>
                <c:pt idx="195">
                  <c:v>20.010127388535029</c:v>
                </c:pt>
                <c:pt idx="196">
                  <c:v>20.010127388535029</c:v>
                </c:pt>
                <c:pt idx="197">
                  <c:v>20.010127388535029</c:v>
                </c:pt>
                <c:pt idx="198">
                  <c:v>20.010127388535029</c:v>
                </c:pt>
                <c:pt idx="199">
                  <c:v>20.010127388535029</c:v>
                </c:pt>
                <c:pt idx="200">
                  <c:v>20.010127388535029</c:v>
                </c:pt>
                <c:pt idx="201">
                  <c:v>20.010127388535029</c:v>
                </c:pt>
                <c:pt idx="202">
                  <c:v>20.010127388535029</c:v>
                </c:pt>
                <c:pt idx="203">
                  <c:v>20.010127388535029</c:v>
                </c:pt>
                <c:pt idx="204">
                  <c:v>20.010127388535029</c:v>
                </c:pt>
                <c:pt idx="205">
                  <c:v>20.010127388535029</c:v>
                </c:pt>
                <c:pt idx="206">
                  <c:v>20.010127388535029</c:v>
                </c:pt>
                <c:pt idx="207">
                  <c:v>20.010127388535029</c:v>
                </c:pt>
                <c:pt idx="208">
                  <c:v>20.010127388535029</c:v>
                </c:pt>
                <c:pt idx="209">
                  <c:v>20.010127388535029</c:v>
                </c:pt>
                <c:pt idx="210">
                  <c:v>20.010127388535029</c:v>
                </c:pt>
                <c:pt idx="211">
                  <c:v>20.010127388535029</c:v>
                </c:pt>
                <c:pt idx="212">
                  <c:v>20.010127388535029</c:v>
                </c:pt>
                <c:pt idx="213">
                  <c:v>20.010127388535029</c:v>
                </c:pt>
                <c:pt idx="214">
                  <c:v>20.010127388535029</c:v>
                </c:pt>
                <c:pt idx="215">
                  <c:v>20.010127388535029</c:v>
                </c:pt>
                <c:pt idx="216">
                  <c:v>20.010127388535029</c:v>
                </c:pt>
                <c:pt idx="217">
                  <c:v>20.010127388535029</c:v>
                </c:pt>
                <c:pt idx="218">
                  <c:v>20.010127388535029</c:v>
                </c:pt>
                <c:pt idx="219">
                  <c:v>20.010127388535029</c:v>
                </c:pt>
                <c:pt idx="220">
                  <c:v>20.010127388535029</c:v>
                </c:pt>
                <c:pt idx="221">
                  <c:v>20.010127388535029</c:v>
                </c:pt>
                <c:pt idx="222">
                  <c:v>20.010127388535029</c:v>
                </c:pt>
                <c:pt idx="223">
                  <c:v>20.010127388535029</c:v>
                </c:pt>
                <c:pt idx="224">
                  <c:v>20.010127388535029</c:v>
                </c:pt>
                <c:pt idx="225">
                  <c:v>20.010127388535029</c:v>
                </c:pt>
                <c:pt idx="226">
                  <c:v>20.010127388535029</c:v>
                </c:pt>
                <c:pt idx="227">
                  <c:v>20.010127388535029</c:v>
                </c:pt>
                <c:pt idx="228">
                  <c:v>20.010127388535029</c:v>
                </c:pt>
                <c:pt idx="229">
                  <c:v>20.010127388535029</c:v>
                </c:pt>
                <c:pt idx="230">
                  <c:v>20.010127388535029</c:v>
                </c:pt>
                <c:pt idx="231">
                  <c:v>20.010127388535029</c:v>
                </c:pt>
                <c:pt idx="232">
                  <c:v>20.010127388535029</c:v>
                </c:pt>
                <c:pt idx="233">
                  <c:v>20.010127388535029</c:v>
                </c:pt>
                <c:pt idx="234">
                  <c:v>20.010127388535029</c:v>
                </c:pt>
                <c:pt idx="235">
                  <c:v>20.010127388535029</c:v>
                </c:pt>
                <c:pt idx="236">
                  <c:v>20.010127388535029</c:v>
                </c:pt>
                <c:pt idx="237">
                  <c:v>20.010127388535029</c:v>
                </c:pt>
                <c:pt idx="238">
                  <c:v>20.010127388535029</c:v>
                </c:pt>
                <c:pt idx="239">
                  <c:v>20.010127388535029</c:v>
                </c:pt>
                <c:pt idx="240">
                  <c:v>20.010127388535029</c:v>
                </c:pt>
                <c:pt idx="241">
                  <c:v>20.010127388535029</c:v>
                </c:pt>
                <c:pt idx="242">
                  <c:v>20.010127388535029</c:v>
                </c:pt>
                <c:pt idx="243">
                  <c:v>20.010127388535029</c:v>
                </c:pt>
                <c:pt idx="244">
                  <c:v>20.010127388535029</c:v>
                </c:pt>
                <c:pt idx="245">
                  <c:v>20.010127388535029</c:v>
                </c:pt>
                <c:pt idx="246">
                  <c:v>20.010127388535029</c:v>
                </c:pt>
                <c:pt idx="247">
                  <c:v>20.010127388535029</c:v>
                </c:pt>
                <c:pt idx="248">
                  <c:v>20.010127388535029</c:v>
                </c:pt>
                <c:pt idx="249">
                  <c:v>20.010127388535029</c:v>
                </c:pt>
                <c:pt idx="250">
                  <c:v>20.010127388535029</c:v>
                </c:pt>
                <c:pt idx="251">
                  <c:v>20.010127388535029</c:v>
                </c:pt>
                <c:pt idx="252">
                  <c:v>20.010127388535029</c:v>
                </c:pt>
                <c:pt idx="253">
                  <c:v>20.010127388535029</c:v>
                </c:pt>
                <c:pt idx="254">
                  <c:v>20.010127388535029</c:v>
                </c:pt>
                <c:pt idx="255">
                  <c:v>20.010127388535029</c:v>
                </c:pt>
                <c:pt idx="256">
                  <c:v>20.010127388535029</c:v>
                </c:pt>
                <c:pt idx="257">
                  <c:v>20.010127388535029</c:v>
                </c:pt>
                <c:pt idx="258">
                  <c:v>20.010127388535029</c:v>
                </c:pt>
                <c:pt idx="259">
                  <c:v>20.010127388535029</c:v>
                </c:pt>
                <c:pt idx="260">
                  <c:v>20.010127388535029</c:v>
                </c:pt>
                <c:pt idx="261">
                  <c:v>20.010127388535029</c:v>
                </c:pt>
                <c:pt idx="262">
                  <c:v>20.010127388535029</c:v>
                </c:pt>
                <c:pt idx="263">
                  <c:v>20.010127388535029</c:v>
                </c:pt>
                <c:pt idx="264">
                  <c:v>20.010127388535029</c:v>
                </c:pt>
                <c:pt idx="265">
                  <c:v>20.010127388535029</c:v>
                </c:pt>
                <c:pt idx="266">
                  <c:v>20.010127388535029</c:v>
                </c:pt>
                <c:pt idx="267">
                  <c:v>20.010127388535029</c:v>
                </c:pt>
                <c:pt idx="268">
                  <c:v>20.010127388535029</c:v>
                </c:pt>
                <c:pt idx="269">
                  <c:v>20.010127388535029</c:v>
                </c:pt>
                <c:pt idx="270">
                  <c:v>20.010127388535029</c:v>
                </c:pt>
                <c:pt idx="271">
                  <c:v>20.010127388535029</c:v>
                </c:pt>
                <c:pt idx="272">
                  <c:v>20.010127388535029</c:v>
                </c:pt>
                <c:pt idx="273">
                  <c:v>20.010127388535029</c:v>
                </c:pt>
                <c:pt idx="274">
                  <c:v>20.010127388535029</c:v>
                </c:pt>
                <c:pt idx="275">
                  <c:v>20.010127388535029</c:v>
                </c:pt>
                <c:pt idx="276">
                  <c:v>20.010127388535029</c:v>
                </c:pt>
                <c:pt idx="277">
                  <c:v>20.010127388535029</c:v>
                </c:pt>
                <c:pt idx="278">
                  <c:v>20.010127388535029</c:v>
                </c:pt>
                <c:pt idx="279">
                  <c:v>20.010127388535029</c:v>
                </c:pt>
                <c:pt idx="280">
                  <c:v>20.010127388535029</c:v>
                </c:pt>
                <c:pt idx="281">
                  <c:v>20.010127388535029</c:v>
                </c:pt>
                <c:pt idx="282">
                  <c:v>20.010127388535029</c:v>
                </c:pt>
                <c:pt idx="283">
                  <c:v>20.010127388535029</c:v>
                </c:pt>
                <c:pt idx="284">
                  <c:v>20.010127388535029</c:v>
                </c:pt>
                <c:pt idx="285">
                  <c:v>20.010127388535029</c:v>
                </c:pt>
                <c:pt idx="286">
                  <c:v>20.010127388535029</c:v>
                </c:pt>
                <c:pt idx="287">
                  <c:v>20.010127388535029</c:v>
                </c:pt>
                <c:pt idx="288">
                  <c:v>20.010127388535029</c:v>
                </c:pt>
                <c:pt idx="289">
                  <c:v>20.010127388535029</c:v>
                </c:pt>
                <c:pt idx="290">
                  <c:v>20.010127388535029</c:v>
                </c:pt>
                <c:pt idx="291">
                  <c:v>20.010127388535029</c:v>
                </c:pt>
                <c:pt idx="292">
                  <c:v>20.010127388535029</c:v>
                </c:pt>
                <c:pt idx="293">
                  <c:v>20.010127388535029</c:v>
                </c:pt>
                <c:pt idx="294">
                  <c:v>20.010127388535029</c:v>
                </c:pt>
                <c:pt idx="295">
                  <c:v>20.010127388535029</c:v>
                </c:pt>
                <c:pt idx="296">
                  <c:v>20.010127388535029</c:v>
                </c:pt>
                <c:pt idx="297">
                  <c:v>20.010127388535029</c:v>
                </c:pt>
                <c:pt idx="298">
                  <c:v>20.010127388535029</c:v>
                </c:pt>
                <c:pt idx="299">
                  <c:v>20.010127388535029</c:v>
                </c:pt>
                <c:pt idx="300">
                  <c:v>20.010127388535029</c:v>
                </c:pt>
                <c:pt idx="301">
                  <c:v>20.010127388535029</c:v>
                </c:pt>
                <c:pt idx="302">
                  <c:v>20.010127388535029</c:v>
                </c:pt>
                <c:pt idx="303">
                  <c:v>20.010127388535029</c:v>
                </c:pt>
                <c:pt idx="304">
                  <c:v>20.010127388535029</c:v>
                </c:pt>
                <c:pt idx="305">
                  <c:v>20.010127388535029</c:v>
                </c:pt>
                <c:pt idx="306">
                  <c:v>20.010127388535029</c:v>
                </c:pt>
                <c:pt idx="307">
                  <c:v>20.010127388535029</c:v>
                </c:pt>
                <c:pt idx="308">
                  <c:v>20.010127388535029</c:v>
                </c:pt>
                <c:pt idx="309">
                  <c:v>20.010127388535029</c:v>
                </c:pt>
                <c:pt idx="310">
                  <c:v>20.010127388535029</c:v>
                </c:pt>
                <c:pt idx="311">
                  <c:v>20.010127388535029</c:v>
                </c:pt>
                <c:pt idx="312">
                  <c:v>20.010127388535029</c:v>
                </c:pt>
                <c:pt idx="313">
                  <c:v>20.010127388535029</c:v>
                </c:pt>
                <c:pt idx="314">
                  <c:v>20.010127388535029</c:v>
                </c:pt>
                <c:pt idx="315">
                  <c:v>20.010127388535029</c:v>
                </c:pt>
                <c:pt idx="316">
                  <c:v>20.010127388535029</c:v>
                </c:pt>
                <c:pt idx="317">
                  <c:v>20.010127388535029</c:v>
                </c:pt>
                <c:pt idx="318">
                  <c:v>20.010127388535029</c:v>
                </c:pt>
                <c:pt idx="319">
                  <c:v>20.010127388535029</c:v>
                </c:pt>
                <c:pt idx="320">
                  <c:v>20.010127388535029</c:v>
                </c:pt>
                <c:pt idx="321">
                  <c:v>20.010127388535029</c:v>
                </c:pt>
                <c:pt idx="322">
                  <c:v>20.010127388535029</c:v>
                </c:pt>
                <c:pt idx="323">
                  <c:v>20.010127388535029</c:v>
                </c:pt>
                <c:pt idx="324">
                  <c:v>20.010127388535029</c:v>
                </c:pt>
                <c:pt idx="325">
                  <c:v>20.010127388535029</c:v>
                </c:pt>
                <c:pt idx="326">
                  <c:v>20.010127388535029</c:v>
                </c:pt>
                <c:pt idx="327">
                  <c:v>20.010127388535029</c:v>
                </c:pt>
                <c:pt idx="328">
                  <c:v>20.010127388535029</c:v>
                </c:pt>
                <c:pt idx="329">
                  <c:v>20.010127388535029</c:v>
                </c:pt>
                <c:pt idx="330">
                  <c:v>20.010127388535029</c:v>
                </c:pt>
                <c:pt idx="331">
                  <c:v>20.010127388535029</c:v>
                </c:pt>
                <c:pt idx="332">
                  <c:v>20.010127388535029</c:v>
                </c:pt>
                <c:pt idx="333">
                  <c:v>20.010127388535029</c:v>
                </c:pt>
                <c:pt idx="334">
                  <c:v>20.010127388535029</c:v>
                </c:pt>
                <c:pt idx="335">
                  <c:v>20.010127388535029</c:v>
                </c:pt>
                <c:pt idx="336">
                  <c:v>20.010127388535029</c:v>
                </c:pt>
                <c:pt idx="337">
                  <c:v>20.010127388535029</c:v>
                </c:pt>
                <c:pt idx="338">
                  <c:v>20.010127388535029</c:v>
                </c:pt>
                <c:pt idx="339">
                  <c:v>20.010127388535029</c:v>
                </c:pt>
                <c:pt idx="340">
                  <c:v>20.010127388535029</c:v>
                </c:pt>
                <c:pt idx="341">
                  <c:v>20.010127388535029</c:v>
                </c:pt>
                <c:pt idx="342">
                  <c:v>20.010127388535029</c:v>
                </c:pt>
                <c:pt idx="343">
                  <c:v>20.010127388535029</c:v>
                </c:pt>
                <c:pt idx="344">
                  <c:v>20.010127388535029</c:v>
                </c:pt>
                <c:pt idx="345">
                  <c:v>20.010127388535029</c:v>
                </c:pt>
                <c:pt idx="346">
                  <c:v>20.010127388535029</c:v>
                </c:pt>
                <c:pt idx="347">
                  <c:v>20.010127388535029</c:v>
                </c:pt>
                <c:pt idx="348">
                  <c:v>20.010127388535029</c:v>
                </c:pt>
                <c:pt idx="349">
                  <c:v>20.010127388535029</c:v>
                </c:pt>
                <c:pt idx="350">
                  <c:v>20.010127388535029</c:v>
                </c:pt>
                <c:pt idx="351">
                  <c:v>20.010127388535029</c:v>
                </c:pt>
                <c:pt idx="352">
                  <c:v>20.010127388535029</c:v>
                </c:pt>
                <c:pt idx="353">
                  <c:v>20.010127388535029</c:v>
                </c:pt>
                <c:pt idx="354">
                  <c:v>20.010127388535029</c:v>
                </c:pt>
                <c:pt idx="355">
                  <c:v>20.010127388535029</c:v>
                </c:pt>
                <c:pt idx="356">
                  <c:v>20.010127388535029</c:v>
                </c:pt>
                <c:pt idx="357">
                  <c:v>20.010127388535029</c:v>
                </c:pt>
                <c:pt idx="358">
                  <c:v>20.010127388535029</c:v>
                </c:pt>
                <c:pt idx="359">
                  <c:v>20.010127388535029</c:v>
                </c:pt>
                <c:pt idx="360">
                  <c:v>20.010127388535029</c:v>
                </c:pt>
                <c:pt idx="361">
                  <c:v>20.010127388535029</c:v>
                </c:pt>
                <c:pt idx="362">
                  <c:v>20.010127388535029</c:v>
                </c:pt>
                <c:pt idx="363">
                  <c:v>20.010127388535029</c:v>
                </c:pt>
                <c:pt idx="364">
                  <c:v>20.010127388535029</c:v>
                </c:pt>
                <c:pt idx="365">
                  <c:v>20.010127388535029</c:v>
                </c:pt>
                <c:pt idx="366">
                  <c:v>20.010127388535029</c:v>
                </c:pt>
                <c:pt idx="367">
                  <c:v>20.010127388535029</c:v>
                </c:pt>
                <c:pt idx="368">
                  <c:v>20.010127388535029</c:v>
                </c:pt>
                <c:pt idx="369">
                  <c:v>20.229169349645847</c:v>
                </c:pt>
                <c:pt idx="370">
                  <c:v>19.896073464217856</c:v>
                </c:pt>
                <c:pt idx="371">
                  <c:v>19.561581569115813</c:v>
                </c:pt>
                <c:pt idx="372">
                  <c:v>19.214617737003056</c:v>
                </c:pt>
                <c:pt idx="373">
                  <c:v>18.857082833133251</c:v>
                </c:pt>
                <c:pt idx="374">
                  <c:v>18.501707891637217</c:v>
                </c:pt>
                <c:pt idx="375">
                  <c:v>18.138510392609696</c:v>
                </c:pt>
                <c:pt idx="376">
                  <c:v>17.759129451667608</c:v>
                </c:pt>
                <c:pt idx="377">
                  <c:v>17.376050884955752</c:v>
                </c:pt>
                <c:pt idx="378">
                  <c:v>16.990751757706867</c:v>
                </c:pt>
                <c:pt idx="379">
                  <c:v>16.587064413938752</c:v>
                </c:pt>
                <c:pt idx="380">
                  <c:v>16.177085478887744</c:v>
                </c:pt>
                <c:pt idx="381">
                  <c:v>15.755215646940821</c:v>
                </c:pt>
                <c:pt idx="382">
                  <c:v>15.32482926829268</c:v>
                </c:pt>
                <c:pt idx="383">
                  <c:v>14.881999052581714</c:v>
                </c:pt>
                <c:pt idx="384">
                  <c:v>14.424196510560147</c:v>
                </c:pt>
                <c:pt idx="385">
                  <c:v>13.950222024866783</c:v>
                </c:pt>
                <c:pt idx="386">
                  <c:v>13.460111396743786</c:v>
                </c:pt>
                <c:pt idx="387">
                  <c:v>12.955010309278348</c:v>
                </c:pt>
                <c:pt idx="388">
                  <c:v>12.422261763542901</c:v>
                </c:pt>
                <c:pt idx="389">
                  <c:v>11.872978080120937</c:v>
                </c:pt>
                <c:pt idx="390">
                  <c:v>11.292559309849027</c:v>
                </c:pt>
                <c:pt idx="391">
                  <c:v>10.682046922815367</c:v>
                </c:pt>
                <c:pt idx="392">
                  <c:v>10.033823059725327</c:v>
                </c:pt>
                <c:pt idx="393">
                  <c:v>9.3416294974724927</c:v>
                </c:pt>
                <c:pt idx="394">
                  <c:v>8.5953214774281808</c:v>
                </c:pt>
                <c:pt idx="395">
                  <c:v>7.7762128712871279</c:v>
                </c:pt>
                <c:pt idx="396">
                  <c:v>6.8608648176457736</c:v>
                </c:pt>
                <c:pt idx="397">
                  <c:v>5.8048595713229849</c:v>
                </c:pt>
                <c:pt idx="398">
                  <c:v>4.5144273602529097</c:v>
                </c:pt>
                <c:pt idx="399">
                  <c:v>2.7087342645283665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29136"/>
        <c:axId val="184829696"/>
      </c:scatterChart>
      <c:valAx>
        <c:axId val="1848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4829696"/>
        <c:crosses val="autoZero"/>
        <c:crossBetween val="midCat"/>
      </c:valAx>
      <c:valAx>
        <c:axId val="18482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482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线速度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stepmoto1!$K$2:$K$401</c:f>
              <c:numCache>
                <c:formatCode>General</c:formatCode>
                <c:ptCount val="400"/>
                <c:pt idx="0">
                  <c:v>11965</c:v>
                </c:pt>
                <c:pt idx="1">
                  <c:v>19144</c:v>
                </c:pt>
                <c:pt idx="2">
                  <c:v>24728</c:v>
                </c:pt>
                <c:pt idx="3">
                  <c:v>29453</c:v>
                </c:pt>
                <c:pt idx="4">
                  <c:v>33622</c:v>
                </c:pt>
                <c:pt idx="5">
                  <c:v>37394</c:v>
                </c:pt>
                <c:pt idx="6">
                  <c:v>40865</c:v>
                </c:pt>
                <c:pt idx="7">
                  <c:v>44096</c:v>
                </c:pt>
                <c:pt idx="8">
                  <c:v>47132</c:v>
                </c:pt>
                <c:pt idx="9">
                  <c:v>50004</c:v>
                </c:pt>
                <c:pt idx="10">
                  <c:v>52736</c:v>
                </c:pt>
                <c:pt idx="11">
                  <c:v>55346</c:v>
                </c:pt>
                <c:pt idx="12">
                  <c:v>57850</c:v>
                </c:pt>
                <c:pt idx="13">
                  <c:v>60259</c:v>
                </c:pt>
                <c:pt idx="14">
                  <c:v>62584</c:v>
                </c:pt>
                <c:pt idx="15">
                  <c:v>64833</c:v>
                </c:pt>
                <c:pt idx="16">
                  <c:v>67012</c:v>
                </c:pt>
                <c:pt idx="17">
                  <c:v>69128</c:v>
                </c:pt>
                <c:pt idx="18">
                  <c:v>71186</c:v>
                </c:pt>
                <c:pt idx="19">
                  <c:v>73191</c:v>
                </c:pt>
                <c:pt idx="20">
                  <c:v>75146</c:v>
                </c:pt>
                <c:pt idx="21">
                  <c:v>77055</c:v>
                </c:pt>
                <c:pt idx="22">
                  <c:v>78922</c:v>
                </c:pt>
                <c:pt idx="23">
                  <c:v>80748</c:v>
                </c:pt>
                <c:pt idx="24">
                  <c:v>82537</c:v>
                </c:pt>
                <c:pt idx="25">
                  <c:v>84290</c:v>
                </c:pt>
                <c:pt idx="26">
                  <c:v>86010</c:v>
                </c:pt>
                <c:pt idx="27">
                  <c:v>87698</c:v>
                </c:pt>
                <c:pt idx="28">
                  <c:v>89357</c:v>
                </c:pt>
                <c:pt idx="29">
                  <c:v>90987</c:v>
                </c:pt>
                <c:pt idx="30">
                  <c:v>92590</c:v>
                </c:pt>
                <c:pt idx="31">
                  <c:v>94168</c:v>
                </c:pt>
                <c:pt idx="32">
                  <c:v>95738</c:v>
                </c:pt>
                <c:pt idx="33">
                  <c:v>97308</c:v>
                </c:pt>
                <c:pt idx="34">
                  <c:v>98878</c:v>
                </c:pt>
                <c:pt idx="35">
                  <c:v>100448</c:v>
                </c:pt>
                <c:pt idx="36">
                  <c:v>102018</c:v>
                </c:pt>
                <c:pt idx="37">
                  <c:v>103588</c:v>
                </c:pt>
                <c:pt idx="38">
                  <c:v>105158</c:v>
                </c:pt>
                <c:pt idx="39">
                  <c:v>106728</c:v>
                </c:pt>
                <c:pt idx="40">
                  <c:v>108298</c:v>
                </c:pt>
                <c:pt idx="41">
                  <c:v>109868</c:v>
                </c:pt>
                <c:pt idx="42">
                  <c:v>111438</c:v>
                </c:pt>
                <c:pt idx="43">
                  <c:v>113008</c:v>
                </c:pt>
                <c:pt idx="44">
                  <c:v>114578</c:v>
                </c:pt>
                <c:pt idx="45">
                  <c:v>116148</c:v>
                </c:pt>
                <c:pt idx="46">
                  <c:v>117718</c:v>
                </c:pt>
                <c:pt idx="47">
                  <c:v>119288</c:v>
                </c:pt>
                <c:pt idx="48">
                  <c:v>120858</c:v>
                </c:pt>
                <c:pt idx="49">
                  <c:v>122428</c:v>
                </c:pt>
                <c:pt idx="50">
                  <c:v>123998</c:v>
                </c:pt>
                <c:pt idx="51">
                  <c:v>125568</c:v>
                </c:pt>
                <c:pt idx="52">
                  <c:v>127138</c:v>
                </c:pt>
                <c:pt idx="53">
                  <c:v>128708</c:v>
                </c:pt>
                <c:pt idx="54">
                  <c:v>130278</c:v>
                </c:pt>
                <c:pt idx="55">
                  <c:v>131848</c:v>
                </c:pt>
                <c:pt idx="56">
                  <c:v>133418</c:v>
                </c:pt>
                <c:pt idx="57">
                  <c:v>134988</c:v>
                </c:pt>
                <c:pt idx="58">
                  <c:v>136558</c:v>
                </c:pt>
                <c:pt idx="59">
                  <c:v>138128</c:v>
                </c:pt>
                <c:pt idx="60">
                  <c:v>139698</c:v>
                </c:pt>
                <c:pt idx="61">
                  <c:v>141268</c:v>
                </c:pt>
                <c:pt idx="62">
                  <c:v>142838</c:v>
                </c:pt>
                <c:pt idx="63">
                  <c:v>144408</c:v>
                </c:pt>
                <c:pt idx="64">
                  <c:v>145978</c:v>
                </c:pt>
                <c:pt idx="65">
                  <c:v>147548</c:v>
                </c:pt>
                <c:pt idx="66">
                  <c:v>149118</c:v>
                </c:pt>
                <c:pt idx="67">
                  <c:v>150688</c:v>
                </c:pt>
                <c:pt idx="68">
                  <c:v>152258</c:v>
                </c:pt>
                <c:pt idx="69">
                  <c:v>153828</c:v>
                </c:pt>
                <c:pt idx="70">
                  <c:v>155398</c:v>
                </c:pt>
                <c:pt idx="71">
                  <c:v>156968</c:v>
                </c:pt>
                <c:pt idx="72">
                  <c:v>158538</c:v>
                </c:pt>
                <c:pt idx="73">
                  <c:v>160108</c:v>
                </c:pt>
                <c:pt idx="74">
                  <c:v>161678</c:v>
                </c:pt>
                <c:pt idx="75">
                  <c:v>163248</c:v>
                </c:pt>
                <c:pt idx="76">
                  <c:v>164818</c:v>
                </c:pt>
                <c:pt idx="77">
                  <c:v>166388</c:v>
                </c:pt>
                <c:pt idx="78">
                  <c:v>167958</c:v>
                </c:pt>
                <c:pt idx="79">
                  <c:v>169528</c:v>
                </c:pt>
                <c:pt idx="80">
                  <c:v>171098</c:v>
                </c:pt>
                <c:pt idx="81">
                  <c:v>172668</c:v>
                </c:pt>
                <c:pt idx="82">
                  <c:v>174238</c:v>
                </c:pt>
                <c:pt idx="83">
                  <c:v>175808</c:v>
                </c:pt>
                <c:pt idx="84">
                  <c:v>177378</c:v>
                </c:pt>
                <c:pt idx="85">
                  <c:v>178948</c:v>
                </c:pt>
                <c:pt idx="86">
                  <c:v>180518</c:v>
                </c:pt>
                <c:pt idx="87">
                  <c:v>182088</c:v>
                </c:pt>
                <c:pt idx="88">
                  <c:v>183658</c:v>
                </c:pt>
                <c:pt idx="89">
                  <c:v>185228</c:v>
                </c:pt>
                <c:pt idx="90">
                  <c:v>186798</c:v>
                </c:pt>
                <c:pt idx="91">
                  <c:v>188368</c:v>
                </c:pt>
                <c:pt idx="92">
                  <c:v>189938</c:v>
                </c:pt>
                <c:pt idx="93">
                  <c:v>191508</c:v>
                </c:pt>
                <c:pt idx="94">
                  <c:v>193078</c:v>
                </c:pt>
                <c:pt idx="95">
                  <c:v>194648</c:v>
                </c:pt>
                <c:pt idx="96">
                  <c:v>196218</c:v>
                </c:pt>
                <c:pt idx="97">
                  <c:v>197788</c:v>
                </c:pt>
                <c:pt idx="98">
                  <c:v>199358</c:v>
                </c:pt>
                <c:pt idx="99">
                  <c:v>200928</c:v>
                </c:pt>
                <c:pt idx="100">
                  <c:v>202498</c:v>
                </c:pt>
                <c:pt idx="101">
                  <c:v>204068</c:v>
                </c:pt>
                <c:pt idx="102">
                  <c:v>205638</c:v>
                </c:pt>
                <c:pt idx="103">
                  <c:v>207208</c:v>
                </c:pt>
                <c:pt idx="104">
                  <c:v>208778</c:v>
                </c:pt>
                <c:pt idx="105">
                  <c:v>210348</c:v>
                </c:pt>
                <c:pt idx="106">
                  <c:v>211918</c:v>
                </c:pt>
                <c:pt idx="107">
                  <c:v>213488</c:v>
                </c:pt>
                <c:pt idx="108">
                  <c:v>215058</c:v>
                </c:pt>
                <c:pt idx="109">
                  <c:v>216628</c:v>
                </c:pt>
                <c:pt idx="110">
                  <c:v>218198</c:v>
                </c:pt>
                <c:pt idx="111">
                  <c:v>219768</c:v>
                </c:pt>
                <c:pt idx="112">
                  <c:v>221338</c:v>
                </c:pt>
                <c:pt idx="113">
                  <c:v>222908</c:v>
                </c:pt>
                <c:pt idx="114">
                  <c:v>224478</c:v>
                </c:pt>
                <c:pt idx="115">
                  <c:v>226048</c:v>
                </c:pt>
                <c:pt idx="116">
                  <c:v>227618</c:v>
                </c:pt>
                <c:pt idx="117">
                  <c:v>229188</c:v>
                </c:pt>
                <c:pt idx="118">
                  <c:v>230758</c:v>
                </c:pt>
                <c:pt idx="119">
                  <c:v>232328</c:v>
                </c:pt>
                <c:pt idx="120">
                  <c:v>233898</c:v>
                </c:pt>
                <c:pt idx="121">
                  <c:v>235468</c:v>
                </c:pt>
                <c:pt idx="122">
                  <c:v>237038</c:v>
                </c:pt>
                <c:pt idx="123">
                  <c:v>238608</c:v>
                </c:pt>
                <c:pt idx="124">
                  <c:v>240178</c:v>
                </c:pt>
                <c:pt idx="125">
                  <c:v>241748</c:v>
                </c:pt>
                <c:pt idx="126">
                  <c:v>243318</c:v>
                </c:pt>
                <c:pt idx="127">
                  <c:v>244888</c:v>
                </c:pt>
                <c:pt idx="128">
                  <c:v>246458</c:v>
                </c:pt>
                <c:pt idx="129">
                  <c:v>248028</c:v>
                </c:pt>
                <c:pt idx="130">
                  <c:v>249598</c:v>
                </c:pt>
                <c:pt idx="131">
                  <c:v>251168</c:v>
                </c:pt>
                <c:pt idx="132">
                  <c:v>252738</c:v>
                </c:pt>
                <c:pt idx="133">
                  <c:v>254308</c:v>
                </c:pt>
                <c:pt idx="134">
                  <c:v>255878</c:v>
                </c:pt>
                <c:pt idx="135">
                  <c:v>257448</c:v>
                </c:pt>
                <c:pt idx="136">
                  <c:v>259018</c:v>
                </c:pt>
                <c:pt idx="137">
                  <c:v>260588</c:v>
                </c:pt>
                <c:pt idx="138">
                  <c:v>262158</c:v>
                </c:pt>
                <c:pt idx="139">
                  <c:v>263728</c:v>
                </c:pt>
                <c:pt idx="140">
                  <c:v>265298</c:v>
                </c:pt>
                <c:pt idx="141">
                  <c:v>266868</c:v>
                </c:pt>
                <c:pt idx="142">
                  <c:v>268438</c:v>
                </c:pt>
                <c:pt idx="143">
                  <c:v>270008</c:v>
                </c:pt>
                <c:pt idx="144">
                  <c:v>271578</c:v>
                </c:pt>
                <c:pt idx="145">
                  <c:v>273148</c:v>
                </c:pt>
                <c:pt idx="146">
                  <c:v>274718</c:v>
                </c:pt>
                <c:pt idx="147">
                  <c:v>276288</c:v>
                </c:pt>
                <c:pt idx="148">
                  <c:v>277858</c:v>
                </c:pt>
                <c:pt idx="149">
                  <c:v>279428</c:v>
                </c:pt>
                <c:pt idx="150">
                  <c:v>280998</c:v>
                </c:pt>
                <c:pt idx="151">
                  <c:v>282568</c:v>
                </c:pt>
                <c:pt idx="152">
                  <c:v>284138</c:v>
                </c:pt>
                <c:pt idx="153">
                  <c:v>285708</c:v>
                </c:pt>
                <c:pt idx="154">
                  <c:v>287278</c:v>
                </c:pt>
                <c:pt idx="155">
                  <c:v>288848</c:v>
                </c:pt>
                <c:pt idx="156">
                  <c:v>290418</c:v>
                </c:pt>
                <c:pt idx="157">
                  <c:v>291988</c:v>
                </c:pt>
                <c:pt idx="158">
                  <c:v>293558</c:v>
                </c:pt>
                <c:pt idx="159">
                  <c:v>295128</c:v>
                </c:pt>
                <c:pt idx="160">
                  <c:v>296698</c:v>
                </c:pt>
                <c:pt idx="161">
                  <c:v>298268</c:v>
                </c:pt>
                <c:pt idx="162">
                  <c:v>299838</c:v>
                </c:pt>
                <c:pt idx="163">
                  <c:v>301408</c:v>
                </c:pt>
                <c:pt idx="164">
                  <c:v>302978</c:v>
                </c:pt>
                <c:pt idx="165">
                  <c:v>304548</c:v>
                </c:pt>
                <c:pt idx="166">
                  <c:v>306118</c:v>
                </c:pt>
                <c:pt idx="167">
                  <c:v>307688</c:v>
                </c:pt>
                <c:pt idx="168">
                  <c:v>309258</c:v>
                </c:pt>
                <c:pt idx="169">
                  <c:v>310828</c:v>
                </c:pt>
                <c:pt idx="170">
                  <c:v>312398</c:v>
                </c:pt>
                <c:pt idx="171">
                  <c:v>313968</c:v>
                </c:pt>
                <c:pt idx="172">
                  <c:v>315538</c:v>
                </c:pt>
                <c:pt idx="173">
                  <c:v>317108</c:v>
                </c:pt>
                <c:pt idx="174">
                  <c:v>318678</c:v>
                </c:pt>
                <c:pt idx="175">
                  <c:v>320248</c:v>
                </c:pt>
                <c:pt idx="176">
                  <c:v>321818</c:v>
                </c:pt>
                <c:pt idx="177">
                  <c:v>323388</c:v>
                </c:pt>
                <c:pt idx="178">
                  <c:v>324958</c:v>
                </c:pt>
                <c:pt idx="179">
                  <c:v>326528</c:v>
                </c:pt>
                <c:pt idx="180">
                  <c:v>328098</c:v>
                </c:pt>
                <c:pt idx="181">
                  <c:v>329668</c:v>
                </c:pt>
                <c:pt idx="182">
                  <c:v>331238</c:v>
                </c:pt>
                <c:pt idx="183">
                  <c:v>332808</c:v>
                </c:pt>
                <c:pt idx="184">
                  <c:v>334378</c:v>
                </c:pt>
                <c:pt idx="185">
                  <c:v>335948</c:v>
                </c:pt>
                <c:pt idx="186">
                  <c:v>337518</c:v>
                </c:pt>
                <c:pt idx="187">
                  <c:v>339088</c:v>
                </c:pt>
                <c:pt idx="188">
                  <c:v>340658</c:v>
                </c:pt>
                <c:pt idx="189">
                  <c:v>342228</c:v>
                </c:pt>
                <c:pt idx="190">
                  <c:v>343798</c:v>
                </c:pt>
                <c:pt idx="191">
                  <c:v>345368</c:v>
                </c:pt>
                <c:pt idx="192">
                  <c:v>346938</c:v>
                </c:pt>
                <c:pt idx="193">
                  <c:v>348508</c:v>
                </c:pt>
                <c:pt idx="194">
                  <c:v>350078</c:v>
                </c:pt>
                <c:pt idx="195">
                  <c:v>351648</c:v>
                </c:pt>
                <c:pt idx="196">
                  <c:v>353218</c:v>
                </c:pt>
                <c:pt idx="197">
                  <c:v>354788</c:v>
                </c:pt>
                <c:pt idx="198">
                  <c:v>356358</c:v>
                </c:pt>
                <c:pt idx="199">
                  <c:v>357928</c:v>
                </c:pt>
                <c:pt idx="200">
                  <c:v>359498</c:v>
                </c:pt>
                <c:pt idx="201">
                  <c:v>361068</c:v>
                </c:pt>
                <c:pt idx="202">
                  <c:v>362638</c:v>
                </c:pt>
                <c:pt idx="203">
                  <c:v>364208</c:v>
                </c:pt>
                <c:pt idx="204">
                  <c:v>365778</c:v>
                </c:pt>
                <c:pt idx="205">
                  <c:v>367348</c:v>
                </c:pt>
                <c:pt idx="206">
                  <c:v>368918</c:v>
                </c:pt>
                <c:pt idx="207">
                  <c:v>370488</c:v>
                </c:pt>
                <c:pt idx="208">
                  <c:v>372058</c:v>
                </c:pt>
                <c:pt idx="209">
                  <c:v>373628</c:v>
                </c:pt>
                <c:pt idx="210">
                  <c:v>375198</c:v>
                </c:pt>
                <c:pt idx="211">
                  <c:v>376768</c:v>
                </c:pt>
                <c:pt idx="212">
                  <c:v>378338</c:v>
                </c:pt>
                <c:pt idx="213">
                  <c:v>379908</c:v>
                </c:pt>
                <c:pt idx="214">
                  <c:v>381478</c:v>
                </c:pt>
                <c:pt idx="215">
                  <c:v>383048</c:v>
                </c:pt>
                <c:pt idx="216">
                  <c:v>384618</c:v>
                </c:pt>
                <c:pt idx="217">
                  <c:v>386188</c:v>
                </c:pt>
                <c:pt idx="218">
                  <c:v>387758</c:v>
                </c:pt>
                <c:pt idx="219">
                  <c:v>389328</c:v>
                </c:pt>
                <c:pt idx="220">
                  <c:v>390898</c:v>
                </c:pt>
                <c:pt idx="221">
                  <c:v>392468</c:v>
                </c:pt>
                <c:pt idx="222">
                  <c:v>394038</c:v>
                </c:pt>
                <c:pt idx="223">
                  <c:v>395608</c:v>
                </c:pt>
                <c:pt idx="224">
                  <c:v>397178</c:v>
                </c:pt>
                <c:pt idx="225">
                  <c:v>398748</c:v>
                </c:pt>
                <c:pt idx="226">
                  <c:v>400318</c:v>
                </c:pt>
                <c:pt idx="227">
                  <c:v>401888</c:v>
                </c:pt>
                <c:pt idx="228">
                  <c:v>403458</c:v>
                </c:pt>
                <c:pt idx="229">
                  <c:v>405028</c:v>
                </c:pt>
                <c:pt idx="230">
                  <c:v>406598</c:v>
                </c:pt>
                <c:pt idx="231">
                  <c:v>408168</c:v>
                </c:pt>
                <c:pt idx="232">
                  <c:v>409738</c:v>
                </c:pt>
                <c:pt idx="233">
                  <c:v>411308</c:v>
                </c:pt>
                <c:pt idx="234">
                  <c:v>412878</c:v>
                </c:pt>
                <c:pt idx="235">
                  <c:v>414448</c:v>
                </c:pt>
                <c:pt idx="236">
                  <c:v>416018</c:v>
                </c:pt>
                <c:pt idx="237">
                  <c:v>417588</c:v>
                </c:pt>
                <c:pt idx="238">
                  <c:v>419158</c:v>
                </c:pt>
                <c:pt idx="239">
                  <c:v>420728</c:v>
                </c:pt>
                <c:pt idx="240">
                  <c:v>422298</c:v>
                </c:pt>
                <c:pt idx="241">
                  <c:v>423868</c:v>
                </c:pt>
                <c:pt idx="242">
                  <c:v>425438</c:v>
                </c:pt>
                <c:pt idx="243">
                  <c:v>427008</c:v>
                </c:pt>
                <c:pt idx="244">
                  <c:v>428578</c:v>
                </c:pt>
                <c:pt idx="245">
                  <c:v>430148</c:v>
                </c:pt>
                <c:pt idx="246">
                  <c:v>431718</c:v>
                </c:pt>
                <c:pt idx="247">
                  <c:v>433288</c:v>
                </c:pt>
                <c:pt idx="248">
                  <c:v>434858</c:v>
                </c:pt>
                <c:pt idx="249">
                  <c:v>436428</c:v>
                </c:pt>
                <c:pt idx="250">
                  <c:v>437998</c:v>
                </c:pt>
                <c:pt idx="251">
                  <c:v>439568</c:v>
                </c:pt>
                <c:pt idx="252">
                  <c:v>441138</c:v>
                </c:pt>
                <c:pt idx="253">
                  <c:v>442708</c:v>
                </c:pt>
                <c:pt idx="254">
                  <c:v>444278</c:v>
                </c:pt>
                <c:pt idx="255">
                  <c:v>445848</c:v>
                </c:pt>
                <c:pt idx="256">
                  <c:v>447418</c:v>
                </c:pt>
                <c:pt idx="257">
                  <c:v>448988</c:v>
                </c:pt>
                <c:pt idx="258">
                  <c:v>450558</c:v>
                </c:pt>
                <c:pt idx="259">
                  <c:v>452128</c:v>
                </c:pt>
                <c:pt idx="260">
                  <c:v>453698</c:v>
                </c:pt>
                <c:pt idx="261">
                  <c:v>455268</c:v>
                </c:pt>
                <c:pt idx="262">
                  <c:v>456838</c:v>
                </c:pt>
                <c:pt idx="263">
                  <c:v>458408</c:v>
                </c:pt>
                <c:pt idx="264">
                  <c:v>459978</c:v>
                </c:pt>
                <c:pt idx="265">
                  <c:v>461548</c:v>
                </c:pt>
                <c:pt idx="266">
                  <c:v>463118</c:v>
                </c:pt>
                <c:pt idx="267">
                  <c:v>464688</c:v>
                </c:pt>
                <c:pt idx="268">
                  <c:v>466258</c:v>
                </c:pt>
                <c:pt idx="269">
                  <c:v>467828</c:v>
                </c:pt>
                <c:pt idx="270">
                  <c:v>469398</c:v>
                </c:pt>
                <c:pt idx="271">
                  <c:v>470968</c:v>
                </c:pt>
                <c:pt idx="272">
                  <c:v>472538</c:v>
                </c:pt>
                <c:pt idx="273">
                  <c:v>474108</c:v>
                </c:pt>
                <c:pt idx="274">
                  <c:v>475678</c:v>
                </c:pt>
                <c:pt idx="275">
                  <c:v>477248</c:v>
                </c:pt>
                <c:pt idx="276">
                  <c:v>478818</c:v>
                </c:pt>
                <c:pt idx="277">
                  <c:v>480388</c:v>
                </c:pt>
                <c:pt idx="278">
                  <c:v>481958</c:v>
                </c:pt>
                <c:pt idx="279">
                  <c:v>483528</c:v>
                </c:pt>
                <c:pt idx="280">
                  <c:v>485098</c:v>
                </c:pt>
                <c:pt idx="281">
                  <c:v>486668</c:v>
                </c:pt>
                <c:pt idx="282">
                  <c:v>488238</c:v>
                </c:pt>
                <c:pt idx="283">
                  <c:v>489808</c:v>
                </c:pt>
                <c:pt idx="284">
                  <c:v>491378</c:v>
                </c:pt>
                <c:pt idx="285">
                  <c:v>492948</c:v>
                </c:pt>
                <c:pt idx="286">
                  <c:v>494518</c:v>
                </c:pt>
                <c:pt idx="287">
                  <c:v>496088</c:v>
                </c:pt>
                <c:pt idx="288">
                  <c:v>497658</c:v>
                </c:pt>
                <c:pt idx="289">
                  <c:v>499228</c:v>
                </c:pt>
                <c:pt idx="290">
                  <c:v>500798</c:v>
                </c:pt>
                <c:pt idx="291">
                  <c:v>502368</c:v>
                </c:pt>
                <c:pt idx="292">
                  <c:v>503938</c:v>
                </c:pt>
                <c:pt idx="293">
                  <c:v>505508</c:v>
                </c:pt>
                <c:pt idx="294">
                  <c:v>507078</c:v>
                </c:pt>
                <c:pt idx="295">
                  <c:v>508648</c:v>
                </c:pt>
                <c:pt idx="296">
                  <c:v>510218</c:v>
                </c:pt>
                <c:pt idx="297">
                  <c:v>511788</c:v>
                </c:pt>
                <c:pt idx="298">
                  <c:v>513358</c:v>
                </c:pt>
                <c:pt idx="299">
                  <c:v>514928</c:v>
                </c:pt>
                <c:pt idx="300">
                  <c:v>516498</c:v>
                </c:pt>
                <c:pt idx="301">
                  <c:v>518068</c:v>
                </c:pt>
                <c:pt idx="302">
                  <c:v>519638</c:v>
                </c:pt>
                <c:pt idx="303">
                  <c:v>521208</c:v>
                </c:pt>
                <c:pt idx="304">
                  <c:v>522778</c:v>
                </c:pt>
                <c:pt idx="305">
                  <c:v>524348</c:v>
                </c:pt>
                <c:pt idx="306">
                  <c:v>525918</c:v>
                </c:pt>
                <c:pt idx="307">
                  <c:v>527488</c:v>
                </c:pt>
                <c:pt idx="308">
                  <c:v>529058</c:v>
                </c:pt>
                <c:pt idx="309">
                  <c:v>530628</c:v>
                </c:pt>
                <c:pt idx="310">
                  <c:v>532198</c:v>
                </c:pt>
                <c:pt idx="311">
                  <c:v>533768</c:v>
                </c:pt>
                <c:pt idx="312">
                  <c:v>535338</c:v>
                </c:pt>
                <c:pt idx="313">
                  <c:v>536908</c:v>
                </c:pt>
                <c:pt idx="314">
                  <c:v>538478</c:v>
                </c:pt>
                <c:pt idx="315">
                  <c:v>540048</c:v>
                </c:pt>
                <c:pt idx="316">
                  <c:v>541618</c:v>
                </c:pt>
                <c:pt idx="317">
                  <c:v>543188</c:v>
                </c:pt>
                <c:pt idx="318">
                  <c:v>544758</c:v>
                </c:pt>
                <c:pt idx="319">
                  <c:v>546328</c:v>
                </c:pt>
                <c:pt idx="320">
                  <c:v>547898</c:v>
                </c:pt>
                <c:pt idx="321">
                  <c:v>549468</c:v>
                </c:pt>
                <c:pt idx="322">
                  <c:v>551038</c:v>
                </c:pt>
                <c:pt idx="323">
                  <c:v>552608</c:v>
                </c:pt>
                <c:pt idx="324">
                  <c:v>554178</c:v>
                </c:pt>
                <c:pt idx="325">
                  <c:v>555748</c:v>
                </c:pt>
                <c:pt idx="326">
                  <c:v>557318</c:v>
                </c:pt>
                <c:pt idx="327">
                  <c:v>558888</c:v>
                </c:pt>
                <c:pt idx="328">
                  <c:v>560458</c:v>
                </c:pt>
                <c:pt idx="329">
                  <c:v>562028</c:v>
                </c:pt>
                <c:pt idx="330">
                  <c:v>563598</c:v>
                </c:pt>
                <c:pt idx="331">
                  <c:v>565168</c:v>
                </c:pt>
                <c:pt idx="332">
                  <c:v>566738</c:v>
                </c:pt>
                <c:pt idx="333">
                  <c:v>568308</c:v>
                </c:pt>
                <c:pt idx="334">
                  <c:v>569878</c:v>
                </c:pt>
                <c:pt idx="335">
                  <c:v>571448</c:v>
                </c:pt>
                <c:pt idx="336">
                  <c:v>573018</c:v>
                </c:pt>
                <c:pt idx="337">
                  <c:v>574588</c:v>
                </c:pt>
                <c:pt idx="338">
                  <c:v>576158</c:v>
                </c:pt>
                <c:pt idx="339">
                  <c:v>577728</c:v>
                </c:pt>
                <c:pt idx="340">
                  <c:v>579298</c:v>
                </c:pt>
                <c:pt idx="341">
                  <c:v>580868</c:v>
                </c:pt>
                <c:pt idx="342">
                  <c:v>582438</c:v>
                </c:pt>
                <c:pt idx="343">
                  <c:v>584008</c:v>
                </c:pt>
                <c:pt idx="344">
                  <c:v>585578</c:v>
                </c:pt>
                <c:pt idx="345">
                  <c:v>587148</c:v>
                </c:pt>
                <c:pt idx="346">
                  <c:v>588718</c:v>
                </c:pt>
                <c:pt idx="347">
                  <c:v>590288</c:v>
                </c:pt>
                <c:pt idx="348">
                  <c:v>591858</c:v>
                </c:pt>
                <c:pt idx="349">
                  <c:v>593428</c:v>
                </c:pt>
                <c:pt idx="350">
                  <c:v>594998</c:v>
                </c:pt>
                <c:pt idx="351">
                  <c:v>596568</c:v>
                </c:pt>
                <c:pt idx="352">
                  <c:v>598138</c:v>
                </c:pt>
                <c:pt idx="353">
                  <c:v>599708</c:v>
                </c:pt>
                <c:pt idx="354">
                  <c:v>601278</c:v>
                </c:pt>
                <c:pt idx="355">
                  <c:v>602848</c:v>
                </c:pt>
                <c:pt idx="356">
                  <c:v>604418</c:v>
                </c:pt>
                <c:pt idx="357">
                  <c:v>605988</c:v>
                </c:pt>
                <c:pt idx="358">
                  <c:v>607558</c:v>
                </c:pt>
                <c:pt idx="359">
                  <c:v>609128</c:v>
                </c:pt>
                <c:pt idx="360">
                  <c:v>610698</c:v>
                </c:pt>
                <c:pt idx="361">
                  <c:v>612268</c:v>
                </c:pt>
                <c:pt idx="362">
                  <c:v>613838</c:v>
                </c:pt>
                <c:pt idx="363">
                  <c:v>615408</c:v>
                </c:pt>
                <c:pt idx="364">
                  <c:v>616978</c:v>
                </c:pt>
                <c:pt idx="365">
                  <c:v>618548</c:v>
                </c:pt>
                <c:pt idx="366">
                  <c:v>620118</c:v>
                </c:pt>
                <c:pt idx="367">
                  <c:v>621688</c:v>
                </c:pt>
                <c:pt idx="368">
                  <c:v>623258</c:v>
                </c:pt>
                <c:pt idx="369">
                  <c:v>624811</c:v>
                </c:pt>
                <c:pt idx="370">
                  <c:v>626390</c:v>
                </c:pt>
                <c:pt idx="371">
                  <c:v>627996</c:v>
                </c:pt>
                <c:pt idx="372">
                  <c:v>629631</c:v>
                </c:pt>
                <c:pt idx="373">
                  <c:v>631297</c:v>
                </c:pt>
                <c:pt idx="374">
                  <c:v>632995</c:v>
                </c:pt>
                <c:pt idx="375">
                  <c:v>634727</c:v>
                </c:pt>
                <c:pt idx="376">
                  <c:v>636496</c:v>
                </c:pt>
                <c:pt idx="377">
                  <c:v>638304</c:v>
                </c:pt>
                <c:pt idx="378">
                  <c:v>640153</c:v>
                </c:pt>
                <c:pt idx="379">
                  <c:v>642047</c:v>
                </c:pt>
                <c:pt idx="380">
                  <c:v>643989</c:v>
                </c:pt>
                <c:pt idx="381">
                  <c:v>645983</c:v>
                </c:pt>
                <c:pt idx="382">
                  <c:v>648033</c:v>
                </c:pt>
                <c:pt idx="383">
                  <c:v>650144</c:v>
                </c:pt>
                <c:pt idx="384">
                  <c:v>652322</c:v>
                </c:pt>
                <c:pt idx="385">
                  <c:v>654574</c:v>
                </c:pt>
                <c:pt idx="386">
                  <c:v>656908</c:v>
                </c:pt>
                <c:pt idx="387">
                  <c:v>659333</c:v>
                </c:pt>
                <c:pt idx="388">
                  <c:v>661862</c:v>
                </c:pt>
                <c:pt idx="389">
                  <c:v>664508</c:v>
                </c:pt>
                <c:pt idx="390">
                  <c:v>667290</c:v>
                </c:pt>
                <c:pt idx="391">
                  <c:v>670231</c:v>
                </c:pt>
                <c:pt idx="392">
                  <c:v>673362</c:v>
                </c:pt>
                <c:pt idx="393">
                  <c:v>676725</c:v>
                </c:pt>
                <c:pt idx="394">
                  <c:v>680380</c:v>
                </c:pt>
                <c:pt idx="395">
                  <c:v>684420</c:v>
                </c:pt>
                <c:pt idx="396">
                  <c:v>688999</c:v>
                </c:pt>
                <c:pt idx="397">
                  <c:v>694411</c:v>
                </c:pt>
                <c:pt idx="398">
                  <c:v>701370</c:v>
                </c:pt>
                <c:pt idx="399">
                  <c:v>712968</c:v>
                </c:pt>
              </c:numCache>
            </c:numRef>
          </c:xVal>
          <c:yVal>
            <c:numRef>
              <c:f>stepmoto1!$P$2:$P$401</c:f>
              <c:numCache>
                <c:formatCode>General</c:formatCode>
                <c:ptCount val="400"/>
                <c:pt idx="0">
                  <c:v>16.715419974926871</c:v>
                </c:pt>
                <c:pt idx="1">
                  <c:v>27.859033291544787</c:v>
                </c:pt>
                <c:pt idx="2">
                  <c:v>35.816618911174785</c:v>
                </c:pt>
                <c:pt idx="3">
                  <c:v>42.328042328042329</c:v>
                </c:pt>
                <c:pt idx="4">
                  <c:v>47.973135044375155</c:v>
                </c:pt>
                <c:pt idx="5">
                  <c:v>53.022269353128316</c:v>
                </c:pt>
                <c:pt idx="6">
                  <c:v>57.620282339383465</c:v>
                </c:pt>
                <c:pt idx="7">
                  <c:v>61.900340451872488</c:v>
                </c:pt>
                <c:pt idx="8">
                  <c:v>65.876152832674578</c:v>
                </c:pt>
                <c:pt idx="9">
                  <c:v>69.637883008356553</c:v>
                </c:pt>
                <c:pt idx="10">
                  <c:v>73.206442166910691</c:v>
                </c:pt>
                <c:pt idx="11">
                  <c:v>76.628352490421463</c:v>
                </c:pt>
                <c:pt idx="12">
                  <c:v>79.87220447284345</c:v>
                </c:pt>
                <c:pt idx="13">
                  <c:v>83.022000830220009</c:v>
                </c:pt>
                <c:pt idx="14">
                  <c:v>86.021505376344095</c:v>
                </c:pt>
                <c:pt idx="15">
                  <c:v>88.928412627834589</c:v>
                </c:pt>
                <c:pt idx="16">
                  <c:v>91.785222579164767</c:v>
                </c:pt>
                <c:pt idx="17">
                  <c:v>94.517958412098309</c:v>
                </c:pt>
                <c:pt idx="18">
                  <c:v>97.181729834791071</c:v>
                </c:pt>
                <c:pt idx="19">
                  <c:v>99.750623441396527</c:v>
                </c:pt>
                <c:pt idx="20">
                  <c:v>102.30179028132993</c:v>
                </c:pt>
                <c:pt idx="21">
                  <c:v>104.76689366160294</c:v>
                </c:pt>
                <c:pt idx="22">
                  <c:v>107.12372790573113</c:v>
                </c:pt>
                <c:pt idx="23">
                  <c:v>109.5290251916758</c:v>
                </c:pt>
                <c:pt idx="24">
                  <c:v>111.79429849077698</c:v>
                </c:pt>
                <c:pt idx="25">
                  <c:v>114.09013120365088</c:v>
                </c:pt>
                <c:pt idx="26">
                  <c:v>116.27906976744187</c:v>
                </c:pt>
                <c:pt idx="27">
                  <c:v>118.48341232227489</c:v>
                </c:pt>
                <c:pt idx="28">
                  <c:v>120.55455093429777</c:v>
                </c:pt>
                <c:pt idx="29">
                  <c:v>122.6993865030675</c:v>
                </c:pt>
                <c:pt idx="30">
                  <c:v>124.76606363069246</c:v>
                </c:pt>
                <c:pt idx="31">
                  <c:v>126.7427122940431</c:v>
                </c:pt>
                <c:pt idx="32">
                  <c:v>127.38853503184714</c:v>
                </c:pt>
                <c:pt idx="33">
                  <c:v>127.38853503184714</c:v>
                </c:pt>
                <c:pt idx="34">
                  <c:v>127.38853503184714</c:v>
                </c:pt>
                <c:pt idx="35">
                  <c:v>127.38853503184714</c:v>
                </c:pt>
                <c:pt idx="36">
                  <c:v>127.38853503184714</c:v>
                </c:pt>
                <c:pt idx="37">
                  <c:v>127.38853503184714</c:v>
                </c:pt>
                <c:pt idx="38">
                  <c:v>127.38853503184714</c:v>
                </c:pt>
                <c:pt idx="39">
                  <c:v>127.38853503184714</c:v>
                </c:pt>
                <c:pt idx="40">
                  <c:v>127.38853503184714</c:v>
                </c:pt>
                <c:pt idx="41">
                  <c:v>127.38853503184714</c:v>
                </c:pt>
                <c:pt idx="42">
                  <c:v>127.38853503184714</c:v>
                </c:pt>
                <c:pt idx="43">
                  <c:v>127.38853503184714</c:v>
                </c:pt>
                <c:pt idx="44">
                  <c:v>127.38853503184714</c:v>
                </c:pt>
                <c:pt idx="45">
                  <c:v>127.38853503184714</c:v>
                </c:pt>
                <c:pt idx="46">
                  <c:v>127.38853503184714</c:v>
                </c:pt>
                <c:pt idx="47">
                  <c:v>127.38853503184714</c:v>
                </c:pt>
                <c:pt idx="48">
                  <c:v>127.38853503184714</c:v>
                </c:pt>
                <c:pt idx="49">
                  <c:v>127.38853503184714</c:v>
                </c:pt>
                <c:pt idx="50">
                  <c:v>127.38853503184714</c:v>
                </c:pt>
                <c:pt idx="51">
                  <c:v>127.38853503184714</c:v>
                </c:pt>
                <c:pt idx="52">
                  <c:v>127.38853503184714</c:v>
                </c:pt>
                <c:pt idx="53">
                  <c:v>127.38853503184714</c:v>
                </c:pt>
                <c:pt idx="54">
                  <c:v>127.38853503184714</c:v>
                </c:pt>
                <c:pt idx="55">
                  <c:v>127.38853503184714</c:v>
                </c:pt>
                <c:pt idx="56">
                  <c:v>127.38853503184714</c:v>
                </c:pt>
                <c:pt idx="57">
                  <c:v>127.38853503184714</c:v>
                </c:pt>
                <c:pt idx="58">
                  <c:v>127.38853503184714</c:v>
                </c:pt>
                <c:pt idx="59">
                  <c:v>127.38853503184714</c:v>
                </c:pt>
                <c:pt idx="60">
                  <c:v>127.38853503184714</c:v>
                </c:pt>
                <c:pt idx="61">
                  <c:v>127.38853503184714</c:v>
                </c:pt>
                <c:pt idx="62">
                  <c:v>127.38853503184714</c:v>
                </c:pt>
                <c:pt idx="63">
                  <c:v>127.38853503184714</c:v>
                </c:pt>
                <c:pt idx="64">
                  <c:v>127.38853503184714</c:v>
                </c:pt>
                <c:pt idx="65">
                  <c:v>127.38853503184714</c:v>
                </c:pt>
                <c:pt idx="66">
                  <c:v>127.38853503184714</c:v>
                </c:pt>
                <c:pt idx="67">
                  <c:v>127.38853503184714</c:v>
                </c:pt>
                <c:pt idx="68">
                  <c:v>127.38853503184714</c:v>
                </c:pt>
                <c:pt idx="69">
                  <c:v>127.38853503184714</c:v>
                </c:pt>
                <c:pt idx="70">
                  <c:v>127.38853503184714</c:v>
                </c:pt>
                <c:pt idx="71">
                  <c:v>127.38853503184714</c:v>
                </c:pt>
                <c:pt idx="72">
                  <c:v>127.38853503184714</c:v>
                </c:pt>
                <c:pt idx="73">
                  <c:v>127.38853503184714</c:v>
                </c:pt>
                <c:pt idx="74">
                  <c:v>127.38853503184714</c:v>
                </c:pt>
                <c:pt idx="75">
                  <c:v>127.38853503184714</c:v>
                </c:pt>
                <c:pt idx="76">
                  <c:v>127.38853503184714</c:v>
                </c:pt>
                <c:pt idx="77">
                  <c:v>127.38853503184714</c:v>
                </c:pt>
                <c:pt idx="78">
                  <c:v>127.38853503184714</c:v>
                </c:pt>
                <c:pt idx="79">
                  <c:v>127.38853503184714</c:v>
                </c:pt>
                <c:pt idx="80">
                  <c:v>127.38853503184714</c:v>
                </c:pt>
                <c:pt idx="81">
                  <c:v>127.38853503184714</c:v>
                </c:pt>
                <c:pt idx="82">
                  <c:v>127.38853503184714</c:v>
                </c:pt>
                <c:pt idx="83">
                  <c:v>127.38853503184714</c:v>
                </c:pt>
                <c:pt idx="84">
                  <c:v>127.38853503184714</c:v>
                </c:pt>
                <c:pt idx="85">
                  <c:v>127.38853503184714</c:v>
                </c:pt>
                <c:pt idx="86">
                  <c:v>127.38853503184714</c:v>
                </c:pt>
                <c:pt idx="87">
                  <c:v>127.38853503184714</c:v>
                </c:pt>
                <c:pt idx="88">
                  <c:v>127.38853503184714</c:v>
                </c:pt>
                <c:pt idx="89">
                  <c:v>127.38853503184714</c:v>
                </c:pt>
                <c:pt idx="90">
                  <c:v>127.38853503184714</c:v>
                </c:pt>
                <c:pt idx="91">
                  <c:v>127.38853503184714</c:v>
                </c:pt>
                <c:pt idx="92">
                  <c:v>127.38853503184714</c:v>
                </c:pt>
                <c:pt idx="93">
                  <c:v>127.38853503184714</c:v>
                </c:pt>
                <c:pt idx="94">
                  <c:v>127.38853503184714</c:v>
                </c:pt>
                <c:pt idx="95">
                  <c:v>127.38853503184714</c:v>
                </c:pt>
                <c:pt idx="96">
                  <c:v>127.38853503184714</c:v>
                </c:pt>
                <c:pt idx="97">
                  <c:v>127.38853503184714</c:v>
                </c:pt>
                <c:pt idx="98">
                  <c:v>127.38853503184714</c:v>
                </c:pt>
                <c:pt idx="99">
                  <c:v>127.38853503184714</c:v>
                </c:pt>
                <c:pt idx="100">
                  <c:v>127.38853503184714</c:v>
                </c:pt>
                <c:pt idx="101">
                  <c:v>127.38853503184714</c:v>
                </c:pt>
                <c:pt idx="102">
                  <c:v>127.38853503184714</c:v>
                </c:pt>
                <c:pt idx="103">
                  <c:v>127.38853503184714</c:v>
                </c:pt>
                <c:pt idx="104">
                  <c:v>127.38853503184714</c:v>
                </c:pt>
                <c:pt idx="105">
                  <c:v>127.38853503184714</c:v>
                </c:pt>
                <c:pt idx="106">
                  <c:v>127.38853503184714</c:v>
                </c:pt>
                <c:pt idx="107">
                  <c:v>127.38853503184714</c:v>
                </c:pt>
                <c:pt idx="108">
                  <c:v>127.38853503184714</c:v>
                </c:pt>
                <c:pt idx="109">
                  <c:v>127.38853503184714</c:v>
                </c:pt>
                <c:pt idx="110">
                  <c:v>127.38853503184714</c:v>
                </c:pt>
                <c:pt idx="111">
                  <c:v>127.38853503184714</c:v>
                </c:pt>
                <c:pt idx="112">
                  <c:v>127.38853503184714</c:v>
                </c:pt>
                <c:pt idx="113">
                  <c:v>127.38853503184714</c:v>
                </c:pt>
                <c:pt idx="114">
                  <c:v>127.38853503184714</c:v>
                </c:pt>
                <c:pt idx="115">
                  <c:v>127.38853503184714</c:v>
                </c:pt>
                <c:pt idx="116">
                  <c:v>127.38853503184714</c:v>
                </c:pt>
                <c:pt idx="117">
                  <c:v>127.38853503184714</c:v>
                </c:pt>
                <c:pt idx="118">
                  <c:v>127.38853503184714</c:v>
                </c:pt>
                <c:pt idx="119">
                  <c:v>127.38853503184714</c:v>
                </c:pt>
                <c:pt idx="120">
                  <c:v>127.38853503184714</c:v>
                </c:pt>
                <c:pt idx="121">
                  <c:v>127.38853503184714</c:v>
                </c:pt>
                <c:pt idx="122">
                  <c:v>127.38853503184714</c:v>
                </c:pt>
                <c:pt idx="123">
                  <c:v>127.38853503184714</c:v>
                </c:pt>
                <c:pt idx="124">
                  <c:v>127.38853503184714</c:v>
                </c:pt>
                <c:pt idx="125">
                  <c:v>127.38853503184714</c:v>
                </c:pt>
                <c:pt idx="126">
                  <c:v>127.38853503184714</c:v>
                </c:pt>
                <c:pt idx="127">
                  <c:v>127.38853503184714</c:v>
                </c:pt>
                <c:pt idx="128">
                  <c:v>127.38853503184714</c:v>
                </c:pt>
                <c:pt idx="129">
                  <c:v>127.38853503184714</c:v>
                </c:pt>
                <c:pt idx="130">
                  <c:v>127.38853503184714</c:v>
                </c:pt>
                <c:pt idx="131">
                  <c:v>127.38853503184714</c:v>
                </c:pt>
                <c:pt idx="132">
                  <c:v>127.38853503184714</c:v>
                </c:pt>
                <c:pt idx="133">
                  <c:v>127.38853503184714</c:v>
                </c:pt>
                <c:pt idx="134">
                  <c:v>127.38853503184714</c:v>
                </c:pt>
                <c:pt idx="135">
                  <c:v>127.38853503184714</c:v>
                </c:pt>
                <c:pt idx="136">
                  <c:v>127.38853503184714</c:v>
                </c:pt>
                <c:pt idx="137">
                  <c:v>127.38853503184714</c:v>
                </c:pt>
                <c:pt idx="138">
                  <c:v>127.38853503184714</c:v>
                </c:pt>
                <c:pt idx="139">
                  <c:v>127.38853503184714</c:v>
                </c:pt>
                <c:pt idx="140">
                  <c:v>127.38853503184714</c:v>
                </c:pt>
                <c:pt idx="141">
                  <c:v>127.38853503184714</c:v>
                </c:pt>
                <c:pt idx="142">
                  <c:v>127.38853503184714</c:v>
                </c:pt>
                <c:pt idx="143">
                  <c:v>127.38853503184714</c:v>
                </c:pt>
                <c:pt idx="144">
                  <c:v>127.38853503184714</c:v>
                </c:pt>
                <c:pt idx="145">
                  <c:v>127.38853503184714</c:v>
                </c:pt>
                <c:pt idx="146">
                  <c:v>127.38853503184714</c:v>
                </c:pt>
                <c:pt idx="147">
                  <c:v>127.38853503184714</c:v>
                </c:pt>
                <c:pt idx="148">
                  <c:v>127.38853503184714</c:v>
                </c:pt>
                <c:pt idx="149">
                  <c:v>127.38853503184714</c:v>
                </c:pt>
                <c:pt idx="150">
                  <c:v>127.38853503184714</c:v>
                </c:pt>
                <c:pt idx="151">
                  <c:v>127.38853503184714</c:v>
                </c:pt>
                <c:pt idx="152">
                  <c:v>127.38853503184714</c:v>
                </c:pt>
                <c:pt idx="153">
                  <c:v>127.38853503184714</c:v>
                </c:pt>
                <c:pt idx="154">
                  <c:v>127.38853503184714</c:v>
                </c:pt>
                <c:pt idx="155">
                  <c:v>127.38853503184714</c:v>
                </c:pt>
                <c:pt idx="156">
                  <c:v>127.38853503184714</c:v>
                </c:pt>
                <c:pt idx="157">
                  <c:v>127.38853503184714</c:v>
                </c:pt>
                <c:pt idx="158">
                  <c:v>127.38853503184714</c:v>
                </c:pt>
                <c:pt idx="159">
                  <c:v>127.38853503184714</c:v>
                </c:pt>
                <c:pt idx="160">
                  <c:v>127.38853503184714</c:v>
                </c:pt>
                <c:pt idx="161">
                  <c:v>127.38853503184714</c:v>
                </c:pt>
                <c:pt idx="162">
                  <c:v>127.38853503184714</c:v>
                </c:pt>
                <c:pt idx="163">
                  <c:v>127.38853503184714</c:v>
                </c:pt>
                <c:pt idx="164">
                  <c:v>127.38853503184714</c:v>
                </c:pt>
                <c:pt idx="165">
                  <c:v>127.38853503184714</c:v>
                </c:pt>
                <c:pt idx="166">
                  <c:v>127.38853503184714</c:v>
                </c:pt>
                <c:pt idx="167">
                  <c:v>127.38853503184714</c:v>
                </c:pt>
                <c:pt idx="168">
                  <c:v>127.38853503184714</c:v>
                </c:pt>
                <c:pt idx="169">
                  <c:v>127.38853503184714</c:v>
                </c:pt>
                <c:pt idx="170">
                  <c:v>127.38853503184714</c:v>
                </c:pt>
                <c:pt idx="171">
                  <c:v>127.38853503184714</c:v>
                </c:pt>
                <c:pt idx="172">
                  <c:v>127.38853503184714</c:v>
                </c:pt>
                <c:pt idx="173">
                  <c:v>127.38853503184714</c:v>
                </c:pt>
                <c:pt idx="174">
                  <c:v>127.38853503184714</c:v>
                </c:pt>
                <c:pt idx="175">
                  <c:v>127.38853503184714</c:v>
                </c:pt>
                <c:pt idx="176">
                  <c:v>127.38853503184714</c:v>
                </c:pt>
                <c:pt idx="177">
                  <c:v>127.38853503184714</c:v>
                </c:pt>
                <c:pt idx="178">
                  <c:v>127.38853503184714</c:v>
                </c:pt>
                <c:pt idx="179">
                  <c:v>127.38853503184714</c:v>
                </c:pt>
                <c:pt idx="180">
                  <c:v>127.38853503184714</c:v>
                </c:pt>
                <c:pt idx="181">
                  <c:v>127.38853503184714</c:v>
                </c:pt>
                <c:pt idx="182">
                  <c:v>127.38853503184714</c:v>
                </c:pt>
                <c:pt idx="183">
                  <c:v>127.38853503184714</c:v>
                </c:pt>
                <c:pt idx="184">
                  <c:v>127.38853503184714</c:v>
                </c:pt>
                <c:pt idx="185">
                  <c:v>127.38853503184714</c:v>
                </c:pt>
                <c:pt idx="186">
                  <c:v>127.38853503184714</c:v>
                </c:pt>
                <c:pt idx="187">
                  <c:v>127.38853503184714</c:v>
                </c:pt>
                <c:pt idx="188">
                  <c:v>127.38853503184714</c:v>
                </c:pt>
                <c:pt idx="189">
                  <c:v>127.38853503184714</c:v>
                </c:pt>
                <c:pt idx="190">
                  <c:v>127.38853503184714</c:v>
                </c:pt>
                <c:pt idx="191">
                  <c:v>127.38853503184714</c:v>
                </c:pt>
                <c:pt idx="192">
                  <c:v>127.38853503184714</c:v>
                </c:pt>
                <c:pt idx="193">
                  <c:v>127.38853503184714</c:v>
                </c:pt>
                <c:pt idx="194">
                  <c:v>127.38853503184714</c:v>
                </c:pt>
                <c:pt idx="195">
                  <c:v>127.38853503184714</c:v>
                </c:pt>
                <c:pt idx="196">
                  <c:v>127.38853503184714</c:v>
                </c:pt>
                <c:pt idx="197">
                  <c:v>127.38853503184714</c:v>
                </c:pt>
                <c:pt idx="198">
                  <c:v>127.38853503184714</c:v>
                </c:pt>
                <c:pt idx="199">
                  <c:v>127.38853503184714</c:v>
                </c:pt>
                <c:pt idx="200">
                  <c:v>127.38853503184714</c:v>
                </c:pt>
                <c:pt idx="201">
                  <c:v>127.38853503184714</c:v>
                </c:pt>
                <c:pt idx="202">
                  <c:v>127.38853503184714</c:v>
                </c:pt>
                <c:pt idx="203">
                  <c:v>127.38853503184714</c:v>
                </c:pt>
                <c:pt idx="204">
                  <c:v>127.38853503184714</c:v>
                </c:pt>
                <c:pt idx="205">
                  <c:v>127.38853503184714</c:v>
                </c:pt>
                <c:pt idx="206">
                  <c:v>127.38853503184714</c:v>
                </c:pt>
                <c:pt idx="207">
                  <c:v>127.38853503184714</c:v>
                </c:pt>
                <c:pt idx="208">
                  <c:v>127.38853503184714</c:v>
                </c:pt>
                <c:pt idx="209">
                  <c:v>127.38853503184714</c:v>
                </c:pt>
                <c:pt idx="210">
                  <c:v>127.38853503184714</c:v>
                </c:pt>
                <c:pt idx="211">
                  <c:v>127.38853503184714</c:v>
                </c:pt>
                <c:pt idx="212">
                  <c:v>127.38853503184714</c:v>
                </c:pt>
                <c:pt idx="213">
                  <c:v>127.38853503184714</c:v>
                </c:pt>
                <c:pt idx="214">
                  <c:v>127.38853503184714</c:v>
                </c:pt>
                <c:pt idx="215">
                  <c:v>127.38853503184714</c:v>
                </c:pt>
                <c:pt idx="216">
                  <c:v>127.38853503184714</c:v>
                </c:pt>
                <c:pt idx="217">
                  <c:v>127.38853503184714</c:v>
                </c:pt>
                <c:pt idx="218">
                  <c:v>127.38853503184714</c:v>
                </c:pt>
                <c:pt idx="219">
                  <c:v>127.38853503184714</c:v>
                </c:pt>
                <c:pt idx="220">
                  <c:v>127.38853503184714</c:v>
                </c:pt>
                <c:pt idx="221">
                  <c:v>127.38853503184714</c:v>
                </c:pt>
                <c:pt idx="222">
                  <c:v>127.38853503184714</c:v>
                </c:pt>
                <c:pt idx="223">
                  <c:v>127.38853503184714</c:v>
                </c:pt>
                <c:pt idx="224">
                  <c:v>127.38853503184714</c:v>
                </c:pt>
                <c:pt idx="225">
                  <c:v>127.38853503184714</c:v>
                </c:pt>
                <c:pt idx="226">
                  <c:v>127.38853503184714</c:v>
                </c:pt>
                <c:pt idx="227">
                  <c:v>127.38853503184714</c:v>
                </c:pt>
                <c:pt idx="228">
                  <c:v>127.38853503184714</c:v>
                </c:pt>
                <c:pt idx="229">
                  <c:v>127.38853503184714</c:v>
                </c:pt>
                <c:pt idx="230">
                  <c:v>127.38853503184714</c:v>
                </c:pt>
                <c:pt idx="231">
                  <c:v>127.38853503184714</c:v>
                </c:pt>
                <c:pt idx="232">
                  <c:v>127.38853503184714</c:v>
                </c:pt>
                <c:pt idx="233">
                  <c:v>127.38853503184714</c:v>
                </c:pt>
                <c:pt idx="234">
                  <c:v>127.38853503184714</c:v>
                </c:pt>
                <c:pt idx="235">
                  <c:v>127.38853503184714</c:v>
                </c:pt>
                <c:pt idx="236">
                  <c:v>127.38853503184714</c:v>
                </c:pt>
                <c:pt idx="237">
                  <c:v>127.38853503184714</c:v>
                </c:pt>
                <c:pt idx="238">
                  <c:v>127.38853503184714</c:v>
                </c:pt>
                <c:pt idx="239">
                  <c:v>127.38853503184714</c:v>
                </c:pt>
                <c:pt idx="240">
                  <c:v>127.38853503184714</c:v>
                </c:pt>
                <c:pt idx="241">
                  <c:v>127.38853503184714</c:v>
                </c:pt>
                <c:pt idx="242">
                  <c:v>127.38853503184714</c:v>
                </c:pt>
                <c:pt idx="243">
                  <c:v>127.38853503184714</c:v>
                </c:pt>
                <c:pt idx="244">
                  <c:v>127.38853503184714</c:v>
                </c:pt>
                <c:pt idx="245">
                  <c:v>127.38853503184714</c:v>
                </c:pt>
                <c:pt idx="246">
                  <c:v>127.38853503184714</c:v>
                </c:pt>
                <c:pt idx="247">
                  <c:v>127.38853503184714</c:v>
                </c:pt>
                <c:pt idx="248">
                  <c:v>127.38853503184714</c:v>
                </c:pt>
                <c:pt idx="249">
                  <c:v>127.38853503184714</c:v>
                </c:pt>
                <c:pt idx="250">
                  <c:v>127.38853503184714</c:v>
                </c:pt>
                <c:pt idx="251">
                  <c:v>127.38853503184714</c:v>
                </c:pt>
                <c:pt idx="252">
                  <c:v>127.38853503184714</c:v>
                </c:pt>
                <c:pt idx="253">
                  <c:v>127.38853503184714</c:v>
                </c:pt>
                <c:pt idx="254">
                  <c:v>127.38853503184714</c:v>
                </c:pt>
                <c:pt idx="255">
                  <c:v>127.38853503184714</c:v>
                </c:pt>
                <c:pt idx="256">
                  <c:v>127.38853503184714</c:v>
                </c:pt>
                <c:pt idx="257">
                  <c:v>127.38853503184714</c:v>
                </c:pt>
                <c:pt idx="258">
                  <c:v>127.38853503184714</c:v>
                </c:pt>
                <c:pt idx="259">
                  <c:v>127.38853503184714</c:v>
                </c:pt>
                <c:pt idx="260">
                  <c:v>127.38853503184714</c:v>
                </c:pt>
                <c:pt idx="261">
                  <c:v>127.38853503184714</c:v>
                </c:pt>
                <c:pt idx="262">
                  <c:v>127.38853503184714</c:v>
                </c:pt>
                <c:pt idx="263">
                  <c:v>127.38853503184714</c:v>
                </c:pt>
                <c:pt idx="264">
                  <c:v>127.38853503184714</c:v>
                </c:pt>
                <c:pt idx="265">
                  <c:v>127.38853503184714</c:v>
                </c:pt>
                <c:pt idx="266">
                  <c:v>127.38853503184714</c:v>
                </c:pt>
                <c:pt idx="267">
                  <c:v>127.38853503184714</c:v>
                </c:pt>
                <c:pt idx="268">
                  <c:v>127.38853503184714</c:v>
                </c:pt>
                <c:pt idx="269">
                  <c:v>127.38853503184714</c:v>
                </c:pt>
                <c:pt idx="270">
                  <c:v>127.38853503184714</c:v>
                </c:pt>
                <c:pt idx="271">
                  <c:v>127.38853503184714</c:v>
                </c:pt>
                <c:pt idx="272">
                  <c:v>127.38853503184714</c:v>
                </c:pt>
                <c:pt idx="273">
                  <c:v>127.38853503184714</c:v>
                </c:pt>
                <c:pt idx="274">
                  <c:v>127.38853503184714</c:v>
                </c:pt>
                <c:pt idx="275">
                  <c:v>127.38853503184714</c:v>
                </c:pt>
                <c:pt idx="276">
                  <c:v>127.38853503184714</c:v>
                </c:pt>
                <c:pt idx="277">
                  <c:v>127.38853503184714</c:v>
                </c:pt>
                <c:pt idx="278">
                  <c:v>127.38853503184714</c:v>
                </c:pt>
                <c:pt idx="279">
                  <c:v>127.38853503184714</c:v>
                </c:pt>
                <c:pt idx="280">
                  <c:v>127.38853503184714</c:v>
                </c:pt>
                <c:pt idx="281">
                  <c:v>127.38853503184714</c:v>
                </c:pt>
                <c:pt idx="282">
                  <c:v>127.38853503184714</c:v>
                </c:pt>
                <c:pt idx="283">
                  <c:v>127.38853503184714</c:v>
                </c:pt>
                <c:pt idx="284">
                  <c:v>127.38853503184714</c:v>
                </c:pt>
                <c:pt idx="285">
                  <c:v>127.38853503184714</c:v>
                </c:pt>
                <c:pt idx="286">
                  <c:v>127.38853503184714</c:v>
                </c:pt>
                <c:pt idx="287">
                  <c:v>127.38853503184714</c:v>
                </c:pt>
                <c:pt idx="288">
                  <c:v>127.38853503184714</c:v>
                </c:pt>
                <c:pt idx="289">
                  <c:v>127.38853503184714</c:v>
                </c:pt>
                <c:pt idx="290">
                  <c:v>127.38853503184714</c:v>
                </c:pt>
                <c:pt idx="291">
                  <c:v>127.38853503184714</c:v>
                </c:pt>
                <c:pt idx="292">
                  <c:v>127.38853503184714</c:v>
                </c:pt>
                <c:pt idx="293">
                  <c:v>127.38853503184714</c:v>
                </c:pt>
                <c:pt idx="294">
                  <c:v>127.38853503184714</c:v>
                </c:pt>
                <c:pt idx="295">
                  <c:v>127.38853503184714</c:v>
                </c:pt>
                <c:pt idx="296">
                  <c:v>127.38853503184714</c:v>
                </c:pt>
                <c:pt idx="297">
                  <c:v>127.38853503184714</c:v>
                </c:pt>
                <c:pt idx="298">
                  <c:v>127.38853503184714</c:v>
                </c:pt>
                <c:pt idx="299">
                  <c:v>127.38853503184714</c:v>
                </c:pt>
                <c:pt idx="300">
                  <c:v>127.38853503184714</c:v>
                </c:pt>
                <c:pt idx="301">
                  <c:v>127.38853503184714</c:v>
                </c:pt>
                <c:pt idx="302">
                  <c:v>127.38853503184714</c:v>
                </c:pt>
                <c:pt idx="303">
                  <c:v>127.38853503184714</c:v>
                </c:pt>
                <c:pt idx="304">
                  <c:v>127.38853503184714</c:v>
                </c:pt>
                <c:pt idx="305">
                  <c:v>127.38853503184714</c:v>
                </c:pt>
                <c:pt idx="306">
                  <c:v>127.38853503184714</c:v>
                </c:pt>
                <c:pt idx="307">
                  <c:v>127.38853503184714</c:v>
                </c:pt>
                <c:pt idx="308">
                  <c:v>127.38853503184714</c:v>
                </c:pt>
                <c:pt idx="309">
                  <c:v>127.38853503184714</c:v>
                </c:pt>
                <c:pt idx="310">
                  <c:v>127.38853503184714</c:v>
                </c:pt>
                <c:pt idx="311">
                  <c:v>127.38853503184714</c:v>
                </c:pt>
                <c:pt idx="312">
                  <c:v>127.38853503184714</c:v>
                </c:pt>
                <c:pt idx="313">
                  <c:v>127.38853503184714</c:v>
                </c:pt>
                <c:pt idx="314">
                  <c:v>127.38853503184714</c:v>
                </c:pt>
                <c:pt idx="315">
                  <c:v>127.38853503184714</c:v>
                </c:pt>
                <c:pt idx="316">
                  <c:v>127.38853503184714</c:v>
                </c:pt>
                <c:pt idx="317">
                  <c:v>127.38853503184714</c:v>
                </c:pt>
                <c:pt idx="318">
                  <c:v>127.38853503184714</c:v>
                </c:pt>
                <c:pt idx="319">
                  <c:v>127.38853503184714</c:v>
                </c:pt>
                <c:pt idx="320">
                  <c:v>127.38853503184714</c:v>
                </c:pt>
                <c:pt idx="321">
                  <c:v>127.38853503184714</c:v>
                </c:pt>
                <c:pt idx="322">
                  <c:v>127.38853503184714</c:v>
                </c:pt>
                <c:pt idx="323">
                  <c:v>127.38853503184714</c:v>
                </c:pt>
                <c:pt idx="324">
                  <c:v>127.38853503184714</c:v>
                </c:pt>
                <c:pt idx="325">
                  <c:v>127.38853503184714</c:v>
                </c:pt>
                <c:pt idx="326">
                  <c:v>127.38853503184714</c:v>
                </c:pt>
                <c:pt idx="327">
                  <c:v>127.38853503184714</c:v>
                </c:pt>
                <c:pt idx="328">
                  <c:v>127.38853503184714</c:v>
                </c:pt>
                <c:pt idx="329">
                  <c:v>127.38853503184714</c:v>
                </c:pt>
                <c:pt idx="330">
                  <c:v>127.38853503184714</c:v>
                </c:pt>
                <c:pt idx="331">
                  <c:v>127.38853503184714</c:v>
                </c:pt>
                <c:pt idx="332">
                  <c:v>127.38853503184714</c:v>
                </c:pt>
                <c:pt idx="333">
                  <c:v>127.38853503184714</c:v>
                </c:pt>
                <c:pt idx="334">
                  <c:v>127.38853503184714</c:v>
                </c:pt>
                <c:pt idx="335">
                  <c:v>127.38853503184714</c:v>
                </c:pt>
                <c:pt idx="336">
                  <c:v>127.38853503184714</c:v>
                </c:pt>
                <c:pt idx="337">
                  <c:v>127.38853503184714</c:v>
                </c:pt>
                <c:pt idx="338">
                  <c:v>127.38853503184714</c:v>
                </c:pt>
                <c:pt idx="339">
                  <c:v>127.38853503184714</c:v>
                </c:pt>
                <c:pt idx="340">
                  <c:v>127.38853503184714</c:v>
                </c:pt>
                <c:pt idx="341">
                  <c:v>127.38853503184714</c:v>
                </c:pt>
                <c:pt idx="342">
                  <c:v>127.38853503184714</c:v>
                </c:pt>
                <c:pt idx="343">
                  <c:v>127.38853503184714</c:v>
                </c:pt>
                <c:pt idx="344">
                  <c:v>127.38853503184714</c:v>
                </c:pt>
                <c:pt idx="345">
                  <c:v>127.38853503184714</c:v>
                </c:pt>
                <c:pt idx="346">
                  <c:v>127.38853503184714</c:v>
                </c:pt>
                <c:pt idx="347">
                  <c:v>127.38853503184714</c:v>
                </c:pt>
                <c:pt idx="348">
                  <c:v>127.38853503184714</c:v>
                </c:pt>
                <c:pt idx="349">
                  <c:v>127.38853503184714</c:v>
                </c:pt>
                <c:pt idx="350">
                  <c:v>127.38853503184714</c:v>
                </c:pt>
                <c:pt idx="351">
                  <c:v>127.38853503184714</c:v>
                </c:pt>
                <c:pt idx="352">
                  <c:v>127.38853503184714</c:v>
                </c:pt>
                <c:pt idx="353">
                  <c:v>127.38853503184714</c:v>
                </c:pt>
                <c:pt idx="354">
                  <c:v>127.38853503184714</c:v>
                </c:pt>
                <c:pt idx="355">
                  <c:v>127.38853503184714</c:v>
                </c:pt>
                <c:pt idx="356">
                  <c:v>127.38853503184714</c:v>
                </c:pt>
                <c:pt idx="357">
                  <c:v>127.38853503184714</c:v>
                </c:pt>
                <c:pt idx="358">
                  <c:v>127.38853503184714</c:v>
                </c:pt>
                <c:pt idx="359">
                  <c:v>127.38853503184714</c:v>
                </c:pt>
                <c:pt idx="360">
                  <c:v>127.38853503184714</c:v>
                </c:pt>
                <c:pt idx="361">
                  <c:v>127.38853503184714</c:v>
                </c:pt>
                <c:pt idx="362">
                  <c:v>127.38853503184714</c:v>
                </c:pt>
                <c:pt idx="363">
                  <c:v>127.38853503184714</c:v>
                </c:pt>
                <c:pt idx="364">
                  <c:v>127.38853503184714</c:v>
                </c:pt>
                <c:pt idx="365">
                  <c:v>127.38853503184714</c:v>
                </c:pt>
                <c:pt idx="366">
                  <c:v>127.38853503184714</c:v>
                </c:pt>
                <c:pt idx="367">
                  <c:v>127.38853503184714</c:v>
                </c:pt>
                <c:pt idx="368">
                  <c:v>127.38853503184714</c:v>
                </c:pt>
                <c:pt idx="369">
                  <c:v>128.78300064391502</c:v>
                </c:pt>
                <c:pt idx="370">
                  <c:v>126.66244458518049</c:v>
                </c:pt>
                <c:pt idx="371">
                  <c:v>124.53300124533001</c:v>
                </c:pt>
                <c:pt idx="372">
                  <c:v>122.32415902140674</c:v>
                </c:pt>
                <c:pt idx="373">
                  <c:v>120.04801920768308</c:v>
                </c:pt>
                <c:pt idx="374">
                  <c:v>117.78563015312132</c:v>
                </c:pt>
                <c:pt idx="375">
                  <c:v>115.47344110854503</c:v>
                </c:pt>
                <c:pt idx="376">
                  <c:v>113.05822498586772</c:v>
                </c:pt>
                <c:pt idx="377">
                  <c:v>110.61946902654869</c:v>
                </c:pt>
                <c:pt idx="378">
                  <c:v>108.1665765278529</c:v>
                </c:pt>
                <c:pt idx="379">
                  <c:v>105.59662090813094</c:v>
                </c:pt>
                <c:pt idx="380">
                  <c:v>102.98661174047375</c:v>
                </c:pt>
                <c:pt idx="381">
                  <c:v>100.30090270812437</c:v>
                </c:pt>
                <c:pt idx="382">
                  <c:v>97.560975609756099</c:v>
                </c:pt>
                <c:pt idx="383">
                  <c:v>94.741828517290386</c:v>
                </c:pt>
                <c:pt idx="384">
                  <c:v>91.827364554637299</c:v>
                </c:pt>
                <c:pt idx="385">
                  <c:v>88.809946714031966</c:v>
                </c:pt>
                <c:pt idx="386">
                  <c:v>85.689802913453292</c:v>
                </c:pt>
                <c:pt idx="387">
                  <c:v>82.474226804123717</c:v>
                </c:pt>
                <c:pt idx="388">
                  <c:v>79.08264136022143</c:v>
                </c:pt>
                <c:pt idx="389">
                  <c:v>75.585789871504161</c:v>
                </c:pt>
                <c:pt idx="390">
                  <c:v>71.890726096333566</c:v>
                </c:pt>
                <c:pt idx="391">
                  <c:v>68.004080244814688</c:v>
                </c:pt>
                <c:pt idx="392">
                  <c:v>63.877355477483235</c:v>
                </c:pt>
                <c:pt idx="393">
                  <c:v>59.470710674992567</c:v>
                </c:pt>
                <c:pt idx="394">
                  <c:v>54.719562243502061</c:v>
                </c:pt>
                <c:pt idx="395">
                  <c:v>49.504950495049506</c:v>
                </c:pt>
                <c:pt idx="396">
                  <c:v>43.67765887748417</c:v>
                </c:pt>
                <c:pt idx="397">
                  <c:v>36.95491500369549</c:v>
                </c:pt>
                <c:pt idx="398">
                  <c:v>28.739761459979885</c:v>
                </c:pt>
                <c:pt idx="399">
                  <c:v>17.244352474564579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99552"/>
        <c:axId val="275500112"/>
      </c:scatterChart>
      <c:valAx>
        <c:axId val="2754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500112"/>
        <c:crosses val="autoZero"/>
        <c:crossBetween val="midCat"/>
      </c:valAx>
      <c:valAx>
        <c:axId val="27550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49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位移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stepmoto1!$K$2:$K$401</c:f>
              <c:numCache>
                <c:formatCode>General</c:formatCode>
                <c:ptCount val="400"/>
                <c:pt idx="0">
                  <c:v>11965</c:v>
                </c:pt>
                <c:pt idx="1">
                  <c:v>19144</c:v>
                </c:pt>
                <c:pt idx="2">
                  <c:v>24728</c:v>
                </c:pt>
                <c:pt idx="3">
                  <c:v>29453</c:v>
                </c:pt>
                <c:pt idx="4">
                  <c:v>33622</c:v>
                </c:pt>
                <c:pt idx="5">
                  <c:v>37394</c:v>
                </c:pt>
                <c:pt idx="6">
                  <c:v>40865</c:v>
                </c:pt>
                <c:pt idx="7">
                  <c:v>44096</c:v>
                </c:pt>
                <c:pt idx="8">
                  <c:v>47132</c:v>
                </c:pt>
                <c:pt idx="9">
                  <c:v>50004</c:v>
                </c:pt>
                <c:pt idx="10">
                  <c:v>52736</c:v>
                </c:pt>
                <c:pt idx="11">
                  <c:v>55346</c:v>
                </c:pt>
                <c:pt idx="12">
                  <c:v>57850</c:v>
                </c:pt>
                <c:pt idx="13">
                  <c:v>60259</c:v>
                </c:pt>
                <c:pt idx="14">
                  <c:v>62584</c:v>
                </c:pt>
                <c:pt idx="15">
                  <c:v>64833</c:v>
                </c:pt>
                <c:pt idx="16">
                  <c:v>67012</c:v>
                </c:pt>
                <c:pt idx="17">
                  <c:v>69128</c:v>
                </c:pt>
                <c:pt idx="18">
                  <c:v>71186</c:v>
                </c:pt>
                <c:pt idx="19">
                  <c:v>73191</c:v>
                </c:pt>
                <c:pt idx="20">
                  <c:v>75146</c:v>
                </c:pt>
                <c:pt idx="21">
                  <c:v>77055</c:v>
                </c:pt>
                <c:pt idx="22">
                  <c:v>78922</c:v>
                </c:pt>
                <c:pt idx="23">
                  <c:v>80748</c:v>
                </c:pt>
                <c:pt idx="24">
                  <c:v>82537</c:v>
                </c:pt>
                <c:pt idx="25">
                  <c:v>84290</c:v>
                </c:pt>
                <c:pt idx="26">
                  <c:v>86010</c:v>
                </c:pt>
                <c:pt idx="27">
                  <c:v>87698</c:v>
                </c:pt>
                <c:pt idx="28">
                  <c:v>89357</c:v>
                </c:pt>
                <c:pt idx="29">
                  <c:v>90987</c:v>
                </c:pt>
                <c:pt idx="30">
                  <c:v>92590</c:v>
                </c:pt>
                <c:pt idx="31">
                  <c:v>94168</c:v>
                </c:pt>
                <c:pt idx="32">
                  <c:v>95738</c:v>
                </c:pt>
                <c:pt idx="33">
                  <c:v>97308</c:v>
                </c:pt>
                <c:pt idx="34">
                  <c:v>98878</c:v>
                </c:pt>
                <c:pt idx="35">
                  <c:v>100448</c:v>
                </c:pt>
                <c:pt idx="36">
                  <c:v>102018</c:v>
                </c:pt>
                <c:pt idx="37">
                  <c:v>103588</c:v>
                </c:pt>
                <c:pt idx="38">
                  <c:v>105158</c:v>
                </c:pt>
                <c:pt idx="39">
                  <c:v>106728</c:v>
                </c:pt>
                <c:pt idx="40">
                  <c:v>108298</c:v>
                </c:pt>
                <c:pt idx="41">
                  <c:v>109868</c:v>
                </c:pt>
                <c:pt idx="42">
                  <c:v>111438</c:v>
                </c:pt>
                <c:pt idx="43">
                  <c:v>113008</c:v>
                </c:pt>
                <c:pt idx="44">
                  <c:v>114578</c:v>
                </c:pt>
                <c:pt idx="45">
                  <c:v>116148</c:v>
                </c:pt>
                <c:pt idx="46">
                  <c:v>117718</c:v>
                </c:pt>
                <c:pt idx="47">
                  <c:v>119288</c:v>
                </c:pt>
                <c:pt idx="48">
                  <c:v>120858</c:v>
                </c:pt>
                <c:pt idx="49">
                  <c:v>122428</c:v>
                </c:pt>
                <c:pt idx="50">
                  <c:v>123998</c:v>
                </c:pt>
                <c:pt idx="51">
                  <c:v>125568</c:v>
                </c:pt>
                <c:pt idx="52">
                  <c:v>127138</c:v>
                </c:pt>
                <c:pt idx="53">
                  <c:v>128708</c:v>
                </c:pt>
                <c:pt idx="54">
                  <c:v>130278</c:v>
                </c:pt>
                <c:pt idx="55">
                  <c:v>131848</c:v>
                </c:pt>
                <c:pt idx="56">
                  <c:v>133418</c:v>
                </c:pt>
                <c:pt idx="57">
                  <c:v>134988</c:v>
                </c:pt>
                <c:pt idx="58">
                  <c:v>136558</c:v>
                </c:pt>
                <c:pt idx="59">
                  <c:v>138128</c:v>
                </c:pt>
                <c:pt idx="60">
                  <c:v>139698</c:v>
                </c:pt>
                <c:pt idx="61">
                  <c:v>141268</c:v>
                </c:pt>
                <c:pt idx="62">
                  <c:v>142838</c:v>
                </c:pt>
                <c:pt idx="63">
                  <c:v>144408</c:v>
                </c:pt>
                <c:pt idx="64">
                  <c:v>145978</c:v>
                </c:pt>
                <c:pt idx="65">
                  <c:v>147548</c:v>
                </c:pt>
                <c:pt idx="66">
                  <c:v>149118</c:v>
                </c:pt>
                <c:pt idx="67">
                  <c:v>150688</c:v>
                </c:pt>
                <c:pt idx="68">
                  <c:v>152258</c:v>
                </c:pt>
                <c:pt idx="69">
                  <c:v>153828</c:v>
                </c:pt>
                <c:pt idx="70">
                  <c:v>155398</c:v>
                </c:pt>
                <c:pt idx="71">
                  <c:v>156968</c:v>
                </c:pt>
                <c:pt idx="72">
                  <c:v>158538</c:v>
                </c:pt>
                <c:pt idx="73">
                  <c:v>160108</c:v>
                </c:pt>
                <c:pt idx="74">
                  <c:v>161678</c:v>
                </c:pt>
                <c:pt idx="75">
                  <c:v>163248</c:v>
                </c:pt>
                <c:pt idx="76">
                  <c:v>164818</c:v>
                </c:pt>
                <c:pt idx="77">
                  <c:v>166388</c:v>
                </c:pt>
                <c:pt idx="78">
                  <c:v>167958</c:v>
                </c:pt>
                <c:pt idx="79">
                  <c:v>169528</c:v>
                </c:pt>
                <c:pt idx="80">
                  <c:v>171098</c:v>
                </c:pt>
                <c:pt idx="81">
                  <c:v>172668</c:v>
                </c:pt>
                <c:pt idx="82">
                  <c:v>174238</c:v>
                </c:pt>
                <c:pt idx="83">
                  <c:v>175808</c:v>
                </c:pt>
                <c:pt idx="84">
                  <c:v>177378</c:v>
                </c:pt>
                <c:pt idx="85">
                  <c:v>178948</c:v>
                </c:pt>
                <c:pt idx="86">
                  <c:v>180518</c:v>
                </c:pt>
                <c:pt idx="87">
                  <c:v>182088</c:v>
                </c:pt>
                <c:pt idx="88">
                  <c:v>183658</c:v>
                </c:pt>
                <c:pt idx="89">
                  <c:v>185228</c:v>
                </c:pt>
                <c:pt idx="90">
                  <c:v>186798</c:v>
                </c:pt>
                <c:pt idx="91">
                  <c:v>188368</c:v>
                </c:pt>
                <c:pt idx="92">
                  <c:v>189938</c:v>
                </c:pt>
                <c:pt idx="93">
                  <c:v>191508</c:v>
                </c:pt>
                <c:pt idx="94">
                  <c:v>193078</c:v>
                </c:pt>
                <c:pt idx="95">
                  <c:v>194648</c:v>
                </c:pt>
                <c:pt idx="96">
                  <c:v>196218</c:v>
                </c:pt>
                <c:pt idx="97">
                  <c:v>197788</c:v>
                </c:pt>
                <c:pt idx="98">
                  <c:v>199358</c:v>
                </c:pt>
                <c:pt idx="99">
                  <c:v>200928</c:v>
                </c:pt>
                <c:pt idx="100">
                  <c:v>202498</c:v>
                </c:pt>
                <c:pt idx="101">
                  <c:v>204068</c:v>
                </c:pt>
                <c:pt idx="102">
                  <c:v>205638</c:v>
                </c:pt>
                <c:pt idx="103">
                  <c:v>207208</c:v>
                </c:pt>
                <c:pt idx="104">
                  <c:v>208778</c:v>
                </c:pt>
                <c:pt idx="105">
                  <c:v>210348</c:v>
                </c:pt>
                <c:pt idx="106">
                  <c:v>211918</c:v>
                </c:pt>
                <c:pt idx="107">
                  <c:v>213488</c:v>
                </c:pt>
                <c:pt idx="108">
                  <c:v>215058</c:v>
                </c:pt>
                <c:pt idx="109">
                  <c:v>216628</c:v>
                </c:pt>
                <c:pt idx="110">
                  <c:v>218198</c:v>
                </c:pt>
                <c:pt idx="111">
                  <c:v>219768</c:v>
                </c:pt>
                <c:pt idx="112">
                  <c:v>221338</c:v>
                </c:pt>
                <c:pt idx="113">
                  <c:v>222908</c:v>
                </c:pt>
                <c:pt idx="114">
                  <c:v>224478</c:v>
                </c:pt>
                <c:pt idx="115">
                  <c:v>226048</c:v>
                </c:pt>
                <c:pt idx="116">
                  <c:v>227618</c:v>
                </c:pt>
                <c:pt idx="117">
                  <c:v>229188</c:v>
                </c:pt>
                <c:pt idx="118">
                  <c:v>230758</c:v>
                </c:pt>
                <c:pt idx="119">
                  <c:v>232328</c:v>
                </c:pt>
                <c:pt idx="120">
                  <c:v>233898</c:v>
                </c:pt>
                <c:pt idx="121">
                  <c:v>235468</c:v>
                </c:pt>
                <c:pt idx="122">
                  <c:v>237038</c:v>
                </c:pt>
                <c:pt idx="123">
                  <c:v>238608</c:v>
                </c:pt>
                <c:pt idx="124">
                  <c:v>240178</c:v>
                </c:pt>
                <c:pt idx="125">
                  <c:v>241748</c:v>
                </c:pt>
                <c:pt idx="126">
                  <c:v>243318</c:v>
                </c:pt>
                <c:pt idx="127">
                  <c:v>244888</c:v>
                </c:pt>
                <c:pt idx="128">
                  <c:v>246458</c:v>
                </c:pt>
                <c:pt idx="129">
                  <c:v>248028</c:v>
                </c:pt>
                <c:pt idx="130">
                  <c:v>249598</c:v>
                </c:pt>
                <c:pt idx="131">
                  <c:v>251168</c:v>
                </c:pt>
                <c:pt idx="132">
                  <c:v>252738</c:v>
                </c:pt>
                <c:pt idx="133">
                  <c:v>254308</c:v>
                </c:pt>
                <c:pt idx="134">
                  <c:v>255878</c:v>
                </c:pt>
                <c:pt idx="135">
                  <c:v>257448</c:v>
                </c:pt>
                <c:pt idx="136">
                  <c:v>259018</c:v>
                </c:pt>
                <c:pt idx="137">
                  <c:v>260588</c:v>
                </c:pt>
                <c:pt idx="138">
                  <c:v>262158</c:v>
                </c:pt>
                <c:pt idx="139">
                  <c:v>263728</c:v>
                </c:pt>
                <c:pt idx="140">
                  <c:v>265298</c:v>
                </c:pt>
                <c:pt idx="141">
                  <c:v>266868</c:v>
                </c:pt>
                <c:pt idx="142">
                  <c:v>268438</c:v>
                </c:pt>
                <c:pt idx="143">
                  <c:v>270008</c:v>
                </c:pt>
                <c:pt idx="144">
                  <c:v>271578</c:v>
                </c:pt>
                <c:pt idx="145">
                  <c:v>273148</c:v>
                </c:pt>
                <c:pt idx="146">
                  <c:v>274718</c:v>
                </c:pt>
                <c:pt idx="147">
                  <c:v>276288</c:v>
                </c:pt>
                <c:pt idx="148">
                  <c:v>277858</c:v>
                </c:pt>
                <c:pt idx="149">
                  <c:v>279428</c:v>
                </c:pt>
                <c:pt idx="150">
                  <c:v>280998</c:v>
                </c:pt>
                <c:pt idx="151">
                  <c:v>282568</c:v>
                </c:pt>
                <c:pt idx="152">
                  <c:v>284138</c:v>
                </c:pt>
                <c:pt idx="153">
                  <c:v>285708</c:v>
                </c:pt>
                <c:pt idx="154">
                  <c:v>287278</c:v>
                </c:pt>
                <c:pt idx="155">
                  <c:v>288848</c:v>
                </c:pt>
                <c:pt idx="156">
                  <c:v>290418</c:v>
                </c:pt>
                <c:pt idx="157">
                  <c:v>291988</c:v>
                </c:pt>
                <c:pt idx="158">
                  <c:v>293558</c:v>
                </c:pt>
                <c:pt idx="159">
                  <c:v>295128</c:v>
                </c:pt>
                <c:pt idx="160">
                  <c:v>296698</c:v>
                </c:pt>
                <c:pt idx="161">
                  <c:v>298268</c:v>
                </c:pt>
                <c:pt idx="162">
                  <c:v>299838</c:v>
                </c:pt>
                <c:pt idx="163">
                  <c:v>301408</c:v>
                </c:pt>
                <c:pt idx="164">
                  <c:v>302978</c:v>
                </c:pt>
                <c:pt idx="165">
                  <c:v>304548</c:v>
                </c:pt>
                <c:pt idx="166">
                  <c:v>306118</c:v>
                </c:pt>
                <c:pt idx="167">
                  <c:v>307688</c:v>
                </c:pt>
                <c:pt idx="168">
                  <c:v>309258</c:v>
                </c:pt>
                <c:pt idx="169">
                  <c:v>310828</c:v>
                </c:pt>
                <c:pt idx="170">
                  <c:v>312398</c:v>
                </c:pt>
                <c:pt idx="171">
                  <c:v>313968</c:v>
                </c:pt>
                <c:pt idx="172">
                  <c:v>315538</c:v>
                </c:pt>
                <c:pt idx="173">
                  <c:v>317108</c:v>
                </c:pt>
                <c:pt idx="174">
                  <c:v>318678</c:v>
                </c:pt>
                <c:pt idx="175">
                  <c:v>320248</c:v>
                </c:pt>
                <c:pt idx="176">
                  <c:v>321818</c:v>
                </c:pt>
                <c:pt idx="177">
                  <c:v>323388</c:v>
                </c:pt>
                <c:pt idx="178">
                  <c:v>324958</c:v>
                </c:pt>
                <c:pt idx="179">
                  <c:v>326528</c:v>
                </c:pt>
                <c:pt idx="180">
                  <c:v>328098</c:v>
                </c:pt>
                <c:pt idx="181">
                  <c:v>329668</c:v>
                </c:pt>
                <c:pt idx="182">
                  <c:v>331238</c:v>
                </c:pt>
                <c:pt idx="183">
                  <c:v>332808</c:v>
                </c:pt>
                <c:pt idx="184">
                  <c:v>334378</c:v>
                </c:pt>
                <c:pt idx="185">
                  <c:v>335948</c:v>
                </c:pt>
                <c:pt idx="186">
                  <c:v>337518</c:v>
                </c:pt>
                <c:pt idx="187">
                  <c:v>339088</c:v>
                </c:pt>
                <c:pt idx="188">
                  <c:v>340658</c:v>
                </c:pt>
                <c:pt idx="189">
                  <c:v>342228</c:v>
                </c:pt>
                <c:pt idx="190">
                  <c:v>343798</c:v>
                </c:pt>
                <c:pt idx="191">
                  <c:v>345368</c:v>
                </c:pt>
                <c:pt idx="192">
                  <c:v>346938</c:v>
                </c:pt>
                <c:pt idx="193">
                  <c:v>348508</c:v>
                </c:pt>
                <c:pt idx="194">
                  <c:v>350078</c:v>
                </c:pt>
                <c:pt idx="195">
                  <c:v>351648</c:v>
                </c:pt>
                <c:pt idx="196">
                  <c:v>353218</c:v>
                </c:pt>
                <c:pt idx="197">
                  <c:v>354788</c:v>
                </c:pt>
                <c:pt idx="198">
                  <c:v>356358</c:v>
                </c:pt>
                <c:pt idx="199">
                  <c:v>357928</c:v>
                </c:pt>
                <c:pt idx="200">
                  <c:v>359498</c:v>
                </c:pt>
                <c:pt idx="201">
                  <c:v>361068</c:v>
                </c:pt>
                <c:pt idx="202">
                  <c:v>362638</c:v>
                </c:pt>
                <c:pt idx="203">
                  <c:v>364208</c:v>
                </c:pt>
                <c:pt idx="204">
                  <c:v>365778</c:v>
                </c:pt>
                <c:pt idx="205">
                  <c:v>367348</c:v>
                </c:pt>
                <c:pt idx="206">
                  <c:v>368918</c:v>
                </c:pt>
                <c:pt idx="207">
                  <c:v>370488</c:v>
                </c:pt>
                <c:pt idx="208">
                  <c:v>372058</c:v>
                </c:pt>
                <c:pt idx="209">
                  <c:v>373628</c:v>
                </c:pt>
                <c:pt idx="210">
                  <c:v>375198</c:v>
                </c:pt>
                <c:pt idx="211">
                  <c:v>376768</c:v>
                </c:pt>
                <c:pt idx="212">
                  <c:v>378338</c:v>
                </c:pt>
                <c:pt idx="213">
                  <c:v>379908</c:v>
                </c:pt>
                <c:pt idx="214">
                  <c:v>381478</c:v>
                </c:pt>
                <c:pt idx="215">
                  <c:v>383048</c:v>
                </c:pt>
                <c:pt idx="216">
                  <c:v>384618</c:v>
                </c:pt>
                <c:pt idx="217">
                  <c:v>386188</c:v>
                </c:pt>
                <c:pt idx="218">
                  <c:v>387758</c:v>
                </c:pt>
                <c:pt idx="219">
                  <c:v>389328</c:v>
                </c:pt>
                <c:pt idx="220">
                  <c:v>390898</c:v>
                </c:pt>
                <c:pt idx="221">
                  <c:v>392468</c:v>
                </c:pt>
                <c:pt idx="222">
                  <c:v>394038</c:v>
                </c:pt>
                <c:pt idx="223">
                  <c:v>395608</c:v>
                </c:pt>
                <c:pt idx="224">
                  <c:v>397178</c:v>
                </c:pt>
                <c:pt idx="225">
                  <c:v>398748</c:v>
                </c:pt>
                <c:pt idx="226">
                  <c:v>400318</c:v>
                </c:pt>
                <c:pt idx="227">
                  <c:v>401888</c:v>
                </c:pt>
                <c:pt idx="228">
                  <c:v>403458</c:v>
                </c:pt>
                <c:pt idx="229">
                  <c:v>405028</c:v>
                </c:pt>
                <c:pt idx="230">
                  <c:v>406598</c:v>
                </c:pt>
                <c:pt idx="231">
                  <c:v>408168</c:v>
                </c:pt>
                <c:pt idx="232">
                  <c:v>409738</c:v>
                </c:pt>
                <c:pt idx="233">
                  <c:v>411308</c:v>
                </c:pt>
                <c:pt idx="234">
                  <c:v>412878</c:v>
                </c:pt>
                <c:pt idx="235">
                  <c:v>414448</c:v>
                </c:pt>
                <c:pt idx="236">
                  <c:v>416018</c:v>
                </c:pt>
                <c:pt idx="237">
                  <c:v>417588</c:v>
                </c:pt>
                <c:pt idx="238">
                  <c:v>419158</c:v>
                </c:pt>
                <c:pt idx="239">
                  <c:v>420728</c:v>
                </c:pt>
                <c:pt idx="240">
                  <c:v>422298</c:v>
                </c:pt>
                <c:pt idx="241">
                  <c:v>423868</c:v>
                </c:pt>
                <c:pt idx="242">
                  <c:v>425438</c:v>
                </c:pt>
                <c:pt idx="243">
                  <c:v>427008</c:v>
                </c:pt>
                <c:pt idx="244">
                  <c:v>428578</c:v>
                </c:pt>
                <c:pt idx="245">
                  <c:v>430148</c:v>
                </c:pt>
                <c:pt idx="246">
                  <c:v>431718</c:v>
                </c:pt>
                <c:pt idx="247">
                  <c:v>433288</c:v>
                </c:pt>
                <c:pt idx="248">
                  <c:v>434858</c:v>
                </c:pt>
                <c:pt idx="249">
                  <c:v>436428</c:v>
                </c:pt>
                <c:pt idx="250">
                  <c:v>437998</c:v>
                </c:pt>
                <c:pt idx="251">
                  <c:v>439568</c:v>
                </c:pt>
                <c:pt idx="252">
                  <c:v>441138</c:v>
                </c:pt>
                <c:pt idx="253">
                  <c:v>442708</c:v>
                </c:pt>
                <c:pt idx="254">
                  <c:v>444278</c:v>
                </c:pt>
                <c:pt idx="255">
                  <c:v>445848</c:v>
                </c:pt>
                <c:pt idx="256">
                  <c:v>447418</c:v>
                </c:pt>
                <c:pt idx="257">
                  <c:v>448988</c:v>
                </c:pt>
                <c:pt idx="258">
                  <c:v>450558</c:v>
                </c:pt>
                <c:pt idx="259">
                  <c:v>452128</c:v>
                </c:pt>
                <c:pt idx="260">
                  <c:v>453698</c:v>
                </c:pt>
                <c:pt idx="261">
                  <c:v>455268</c:v>
                </c:pt>
                <c:pt idx="262">
                  <c:v>456838</c:v>
                </c:pt>
                <c:pt idx="263">
                  <c:v>458408</c:v>
                </c:pt>
                <c:pt idx="264">
                  <c:v>459978</c:v>
                </c:pt>
                <c:pt idx="265">
                  <c:v>461548</c:v>
                </c:pt>
                <c:pt idx="266">
                  <c:v>463118</c:v>
                </c:pt>
                <c:pt idx="267">
                  <c:v>464688</c:v>
                </c:pt>
                <c:pt idx="268">
                  <c:v>466258</c:v>
                </c:pt>
                <c:pt idx="269">
                  <c:v>467828</c:v>
                </c:pt>
                <c:pt idx="270">
                  <c:v>469398</c:v>
                </c:pt>
                <c:pt idx="271">
                  <c:v>470968</c:v>
                </c:pt>
                <c:pt idx="272">
                  <c:v>472538</c:v>
                </c:pt>
                <c:pt idx="273">
                  <c:v>474108</c:v>
                </c:pt>
                <c:pt idx="274">
                  <c:v>475678</c:v>
                </c:pt>
                <c:pt idx="275">
                  <c:v>477248</c:v>
                </c:pt>
                <c:pt idx="276">
                  <c:v>478818</c:v>
                </c:pt>
                <c:pt idx="277">
                  <c:v>480388</c:v>
                </c:pt>
                <c:pt idx="278">
                  <c:v>481958</c:v>
                </c:pt>
                <c:pt idx="279">
                  <c:v>483528</c:v>
                </c:pt>
                <c:pt idx="280">
                  <c:v>485098</c:v>
                </c:pt>
                <c:pt idx="281">
                  <c:v>486668</c:v>
                </c:pt>
                <c:pt idx="282">
                  <c:v>488238</c:v>
                </c:pt>
                <c:pt idx="283">
                  <c:v>489808</c:v>
                </c:pt>
                <c:pt idx="284">
                  <c:v>491378</c:v>
                </c:pt>
                <c:pt idx="285">
                  <c:v>492948</c:v>
                </c:pt>
                <c:pt idx="286">
                  <c:v>494518</c:v>
                </c:pt>
                <c:pt idx="287">
                  <c:v>496088</c:v>
                </c:pt>
                <c:pt idx="288">
                  <c:v>497658</c:v>
                </c:pt>
                <c:pt idx="289">
                  <c:v>499228</c:v>
                </c:pt>
                <c:pt idx="290">
                  <c:v>500798</c:v>
                </c:pt>
                <c:pt idx="291">
                  <c:v>502368</c:v>
                </c:pt>
                <c:pt idx="292">
                  <c:v>503938</c:v>
                </c:pt>
                <c:pt idx="293">
                  <c:v>505508</c:v>
                </c:pt>
                <c:pt idx="294">
                  <c:v>507078</c:v>
                </c:pt>
                <c:pt idx="295">
                  <c:v>508648</c:v>
                </c:pt>
                <c:pt idx="296">
                  <c:v>510218</c:v>
                </c:pt>
                <c:pt idx="297">
                  <c:v>511788</c:v>
                </c:pt>
                <c:pt idx="298">
                  <c:v>513358</c:v>
                </c:pt>
                <c:pt idx="299">
                  <c:v>514928</c:v>
                </c:pt>
                <c:pt idx="300">
                  <c:v>516498</c:v>
                </c:pt>
                <c:pt idx="301">
                  <c:v>518068</c:v>
                </c:pt>
                <c:pt idx="302">
                  <c:v>519638</c:v>
                </c:pt>
                <c:pt idx="303">
                  <c:v>521208</c:v>
                </c:pt>
                <c:pt idx="304">
                  <c:v>522778</c:v>
                </c:pt>
                <c:pt idx="305">
                  <c:v>524348</c:v>
                </c:pt>
                <c:pt idx="306">
                  <c:v>525918</c:v>
                </c:pt>
                <c:pt idx="307">
                  <c:v>527488</c:v>
                </c:pt>
                <c:pt idx="308">
                  <c:v>529058</c:v>
                </c:pt>
                <c:pt idx="309">
                  <c:v>530628</c:v>
                </c:pt>
                <c:pt idx="310">
                  <c:v>532198</c:v>
                </c:pt>
                <c:pt idx="311">
                  <c:v>533768</c:v>
                </c:pt>
                <c:pt idx="312">
                  <c:v>535338</c:v>
                </c:pt>
                <c:pt idx="313">
                  <c:v>536908</c:v>
                </c:pt>
                <c:pt idx="314">
                  <c:v>538478</c:v>
                </c:pt>
                <c:pt idx="315">
                  <c:v>540048</c:v>
                </c:pt>
                <c:pt idx="316">
                  <c:v>541618</c:v>
                </c:pt>
                <c:pt idx="317">
                  <c:v>543188</c:v>
                </c:pt>
                <c:pt idx="318">
                  <c:v>544758</c:v>
                </c:pt>
                <c:pt idx="319">
                  <c:v>546328</c:v>
                </c:pt>
                <c:pt idx="320">
                  <c:v>547898</c:v>
                </c:pt>
                <c:pt idx="321">
                  <c:v>549468</c:v>
                </c:pt>
                <c:pt idx="322">
                  <c:v>551038</c:v>
                </c:pt>
                <c:pt idx="323">
                  <c:v>552608</c:v>
                </c:pt>
                <c:pt idx="324">
                  <c:v>554178</c:v>
                </c:pt>
                <c:pt idx="325">
                  <c:v>555748</c:v>
                </c:pt>
                <c:pt idx="326">
                  <c:v>557318</c:v>
                </c:pt>
                <c:pt idx="327">
                  <c:v>558888</c:v>
                </c:pt>
                <c:pt idx="328">
                  <c:v>560458</c:v>
                </c:pt>
                <c:pt idx="329">
                  <c:v>562028</c:v>
                </c:pt>
                <c:pt idx="330">
                  <c:v>563598</c:v>
                </c:pt>
                <c:pt idx="331">
                  <c:v>565168</c:v>
                </c:pt>
                <c:pt idx="332">
                  <c:v>566738</c:v>
                </c:pt>
                <c:pt idx="333">
                  <c:v>568308</c:v>
                </c:pt>
                <c:pt idx="334">
                  <c:v>569878</c:v>
                </c:pt>
                <c:pt idx="335">
                  <c:v>571448</c:v>
                </c:pt>
                <c:pt idx="336">
                  <c:v>573018</c:v>
                </c:pt>
                <c:pt idx="337">
                  <c:v>574588</c:v>
                </c:pt>
                <c:pt idx="338">
                  <c:v>576158</c:v>
                </c:pt>
                <c:pt idx="339">
                  <c:v>577728</c:v>
                </c:pt>
                <c:pt idx="340">
                  <c:v>579298</c:v>
                </c:pt>
                <c:pt idx="341">
                  <c:v>580868</c:v>
                </c:pt>
                <c:pt idx="342">
                  <c:v>582438</c:v>
                </c:pt>
                <c:pt idx="343">
                  <c:v>584008</c:v>
                </c:pt>
                <c:pt idx="344">
                  <c:v>585578</c:v>
                </c:pt>
                <c:pt idx="345">
                  <c:v>587148</c:v>
                </c:pt>
                <c:pt idx="346">
                  <c:v>588718</c:v>
                </c:pt>
                <c:pt idx="347">
                  <c:v>590288</c:v>
                </c:pt>
                <c:pt idx="348">
                  <c:v>591858</c:v>
                </c:pt>
                <c:pt idx="349">
                  <c:v>593428</c:v>
                </c:pt>
                <c:pt idx="350">
                  <c:v>594998</c:v>
                </c:pt>
                <c:pt idx="351">
                  <c:v>596568</c:v>
                </c:pt>
                <c:pt idx="352">
                  <c:v>598138</c:v>
                </c:pt>
                <c:pt idx="353">
                  <c:v>599708</c:v>
                </c:pt>
                <c:pt idx="354">
                  <c:v>601278</c:v>
                </c:pt>
                <c:pt idx="355">
                  <c:v>602848</c:v>
                </c:pt>
                <c:pt idx="356">
                  <c:v>604418</c:v>
                </c:pt>
                <c:pt idx="357">
                  <c:v>605988</c:v>
                </c:pt>
                <c:pt idx="358">
                  <c:v>607558</c:v>
                </c:pt>
                <c:pt idx="359">
                  <c:v>609128</c:v>
                </c:pt>
                <c:pt idx="360">
                  <c:v>610698</c:v>
                </c:pt>
                <c:pt idx="361">
                  <c:v>612268</c:v>
                </c:pt>
                <c:pt idx="362">
                  <c:v>613838</c:v>
                </c:pt>
                <c:pt idx="363">
                  <c:v>615408</c:v>
                </c:pt>
                <c:pt idx="364">
                  <c:v>616978</c:v>
                </c:pt>
                <c:pt idx="365">
                  <c:v>618548</c:v>
                </c:pt>
                <c:pt idx="366">
                  <c:v>620118</c:v>
                </c:pt>
                <c:pt idx="367">
                  <c:v>621688</c:v>
                </c:pt>
                <c:pt idx="368">
                  <c:v>623258</c:v>
                </c:pt>
                <c:pt idx="369">
                  <c:v>624811</c:v>
                </c:pt>
                <c:pt idx="370">
                  <c:v>626390</c:v>
                </c:pt>
                <c:pt idx="371">
                  <c:v>627996</c:v>
                </c:pt>
                <c:pt idx="372">
                  <c:v>629631</c:v>
                </c:pt>
                <c:pt idx="373">
                  <c:v>631297</c:v>
                </c:pt>
                <c:pt idx="374">
                  <c:v>632995</c:v>
                </c:pt>
                <c:pt idx="375">
                  <c:v>634727</c:v>
                </c:pt>
                <c:pt idx="376">
                  <c:v>636496</c:v>
                </c:pt>
                <c:pt idx="377">
                  <c:v>638304</c:v>
                </c:pt>
                <c:pt idx="378">
                  <c:v>640153</c:v>
                </c:pt>
                <c:pt idx="379">
                  <c:v>642047</c:v>
                </c:pt>
                <c:pt idx="380">
                  <c:v>643989</c:v>
                </c:pt>
                <c:pt idx="381">
                  <c:v>645983</c:v>
                </c:pt>
                <c:pt idx="382">
                  <c:v>648033</c:v>
                </c:pt>
                <c:pt idx="383">
                  <c:v>650144</c:v>
                </c:pt>
                <c:pt idx="384">
                  <c:v>652322</c:v>
                </c:pt>
                <c:pt idx="385">
                  <c:v>654574</c:v>
                </c:pt>
                <c:pt idx="386">
                  <c:v>656908</c:v>
                </c:pt>
                <c:pt idx="387">
                  <c:v>659333</c:v>
                </c:pt>
                <c:pt idx="388">
                  <c:v>661862</c:v>
                </c:pt>
                <c:pt idx="389">
                  <c:v>664508</c:v>
                </c:pt>
                <c:pt idx="390">
                  <c:v>667290</c:v>
                </c:pt>
                <c:pt idx="391">
                  <c:v>670231</c:v>
                </c:pt>
                <c:pt idx="392">
                  <c:v>673362</c:v>
                </c:pt>
                <c:pt idx="393">
                  <c:v>676725</c:v>
                </c:pt>
                <c:pt idx="394">
                  <c:v>680380</c:v>
                </c:pt>
                <c:pt idx="395">
                  <c:v>684420</c:v>
                </c:pt>
                <c:pt idx="396">
                  <c:v>688999</c:v>
                </c:pt>
                <c:pt idx="397">
                  <c:v>694411</c:v>
                </c:pt>
                <c:pt idx="398">
                  <c:v>701370</c:v>
                </c:pt>
                <c:pt idx="399">
                  <c:v>712968</c:v>
                </c:pt>
              </c:numCache>
            </c:numRef>
          </c:xVal>
          <c:yVal>
            <c:numRef>
              <c:f>stepmoto1!$Q$2:$Q$401</c:f>
              <c:numCache>
                <c:formatCode>General</c:formatCode>
                <c:ptCount val="40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1.2000000000000002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2.4000000000000004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3.8000000000000003</c:v>
                </c:pt>
                <c:pt idx="19">
                  <c:v>4</c:v>
                </c:pt>
                <c:pt idx="20">
                  <c:v>4.2</c:v>
                </c:pt>
                <c:pt idx="21">
                  <c:v>4.4000000000000004</c:v>
                </c:pt>
                <c:pt idx="22">
                  <c:v>4.6000000000000005</c:v>
                </c:pt>
                <c:pt idx="23">
                  <c:v>4.8000000000000007</c:v>
                </c:pt>
                <c:pt idx="24">
                  <c:v>5</c:v>
                </c:pt>
                <c:pt idx="25">
                  <c:v>5.2</c:v>
                </c:pt>
                <c:pt idx="26">
                  <c:v>5.4</c:v>
                </c:pt>
                <c:pt idx="27">
                  <c:v>5.6000000000000005</c:v>
                </c:pt>
                <c:pt idx="28">
                  <c:v>5.8000000000000007</c:v>
                </c:pt>
                <c:pt idx="29">
                  <c:v>6</c:v>
                </c:pt>
                <c:pt idx="30">
                  <c:v>6.2</c:v>
                </c:pt>
                <c:pt idx="31">
                  <c:v>6.4</c:v>
                </c:pt>
                <c:pt idx="32">
                  <c:v>6.6000000000000005</c:v>
                </c:pt>
                <c:pt idx="33">
                  <c:v>6.8000000000000007</c:v>
                </c:pt>
                <c:pt idx="34">
                  <c:v>7</c:v>
                </c:pt>
                <c:pt idx="35">
                  <c:v>7.2</c:v>
                </c:pt>
                <c:pt idx="36">
                  <c:v>7.4</c:v>
                </c:pt>
                <c:pt idx="37">
                  <c:v>7.6000000000000005</c:v>
                </c:pt>
                <c:pt idx="38">
                  <c:v>7.8000000000000007</c:v>
                </c:pt>
                <c:pt idx="39">
                  <c:v>8</c:v>
                </c:pt>
                <c:pt idx="40">
                  <c:v>8.2000000000000011</c:v>
                </c:pt>
                <c:pt idx="41">
                  <c:v>8.4</c:v>
                </c:pt>
                <c:pt idx="42">
                  <c:v>8.6</c:v>
                </c:pt>
                <c:pt idx="43">
                  <c:v>8.8000000000000007</c:v>
                </c:pt>
                <c:pt idx="44">
                  <c:v>9</c:v>
                </c:pt>
                <c:pt idx="45">
                  <c:v>9.2000000000000011</c:v>
                </c:pt>
                <c:pt idx="46">
                  <c:v>9.4</c:v>
                </c:pt>
                <c:pt idx="47">
                  <c:v>9.6000000000000014</c:v>
                </c:pt>
                <c:pt idx="48">
                  <c:v>9.8000000000000007</c:v>
                </c:pt>
                <c:pt idx="49">
                  <c:v>10</c:v>
                </c:pt>
                <c:pt idx="50">
                  <c:v>10.200000000000001</c:v>
                </c:pt>
                <c:pt idx="51">
                  <c:v>10.4</c:v>
                </c:pt>
                <c:pt idx="52">
                  <c:v>10.600000000000001</c:v>
                </c:pt>
                <c:pt idx="53">
                  <c:v>10.8</c:v>
                </c:pt>
                <c:pt idx="54">
                  <c:v>11</c:v>
                </c:pt>
                <c:pt idx="55">
                  <c:v>11.200000000000001</c:v>
                </c:pt>
                <c:pt idx="56">
                  <c:v>11.4</c:v>
                </c:pt>
                <c:pt idx="57">
                  <c:v>11.600000000000001</c:v>
                </c:pt>
                <c:pt idx="58">
                  <c:v>11.8</c:v>
                </c:pt>
                <c:pt idx="59">
                  <c:v>12</c:v>
                </c:pt>
                <c:pt idx="60">
                  <c:v>12.200000000000001</c:v>
                </c:pt>
                <c:pt idx="61">
                  <c:v>12.4</c:v>
                </c:pt>
                <c:pt idx="62">
                  <c:v>12.600000000000001</c:v>
                </c:pt>
                <c:pt idx="63">
                  <c:v>12.8</c:v>
                </c:pt>
                <c:pt idx="64">
                  <c:v>13</c:v>
                </c:pt>
                <c:pt idx="65">
                  <c:v>13.200000000000001</c:v>
                </c:pt>
                <c:pt idx="66">
                  <c:v>13.4</c:v>
                </c:pt>
                <c:pt idx="67">
                  <c:v>13.600000000000001</c:v>
                </c:pt>
                <c:pt idx="68">
                  <c:v>13.8</c:v>
                </c:pt>
                <c:pt idx="69">
                  <c:v>14</c:v>
                </c:pt>
                <c:pt idx="70">
                  <c:v>14.200000000000001</c:v>
                </c:pt>
                <c:pt idx="71">
                  <c:v>14.4</c:v>
                </c:pt>
                <c:pt idx="72">
                  <c:v>14.600000000000001</c:v>
                </c:pt>
                <c:pt idx="73">
                  <c:v>14.8</c:v>
                </c:pt>
                <c:pt idx="74">
                  <c:v>15</c:v>
                </c:pt>
                <c:pt idx="75">
                  <c:v>15.200000000000001</c:v>
                </c:pt>
                <c:pt idx="76">
                  <c:v>15.4</c:v>
                </c:pt>
                <c:pt idx="77">
                  <c:v>15.600000000000001</c:v>
                </c:pt>
                <c:pt idx="78">
                  <c:v>15.8</c:v>
                </c:pt>
                <c:pt idx="79">
                  <c:v>16</c:v>
                </c:pt>
                <c:pt idx="80">
                  <c:v>16.2</c:v>
                </c:pt>
                <c:pt idx="81">
                  <c:v>16.400000000000002</c:v>
                </c:pt>
                <c:pt idx="82">
                  <c:v>16.600000000000001</c:v>
                </c:pt>
                <c:pt idx="83">
                  <c:v>16.8</c:v>
                </c:pt>
                <c:pt idx="84">
                  <c:v>17</c:v>
                </c:pt>
                <c:pt idx="85">
                  <c:v>17.2</c:v>
                </c:pt>
                <c:pt idx="86">
                  <c:v>17.400000000000002</c:v>
                </c:pt>
                <c:pt idx="87">
                  <c:v>17.600000000000001</c:v>
                </c:pt>
                <c:pt idx="88">
                  <c:v>17.8</c:v>
                </c:pt>
                <c:pt idx="89">
                  <c:v>18</c:v>
                </c:pt>
                <c:pt idx="90">
                  <c:v>18.2</c:v>
                </c:pt>
                <c:pt idx="91">
                  <c:v>18.400000000000002</c:v>
                </c:pt>
                <c:pt idx="92">
                  <c:v>18.600000000000001</c:v>
                </c:pt>
                <c:pt idx="93">
                  <c:v>18.8</c:v>
                </c:pt>
                <c:pt idx="94">
                  <c:v>19</c:v>
                </c:pt>
                <c:pt idx="95">
                  <c:v>19.200000000000003</c:v>
                </c:pt>
                <c:pt idx="96">
                  <c:v>19.400000000000002</c:v>
                </c:pt>
                <c:pt idx="97">
                  <c:v>19.600000000000001</c:v>
                </c:pt>
                <c:pt idx="98">
                  <c:v>19.8</c:v>
                </c:pt>
                <c:pt idx="99">
                  <c:v>20</c:v>
                </c:pt>
                <c:pt idx="100">
                  <c:v>20.200000000000003</c:v>
                </c:pt>
                <c:pt idx="101">
                  <c:v>20.400000000000002</c:v>
                </c:pt>
                <c:pt idx="102">
                  <c:v>20.6</c:v>
                </c:pt>
                <c:pt idx="103">
                  <c:v>20.8</c:v>
                </c:pt>
                <c:pt idx="104">
                  <c:v>21</c:v>
                </c:pt>
                <c:pt idx="105">
                  <c:v>21.200000000000003</c:v>
                </c:pt>
                <c:pt idx="106">
                  <c:v>21.400000000000002</c:v>
                </c:pt>
                <c:pt idx="107">
                  <c:v>21.6</c:v>
                </c:pt>
                <c:pt idx="108">
                  <c:v>21.8</c:v>
                </c:pt>
                <c:pt idx="109">
                  <c:v>22</c:v>
                </c:pt>
                <c:pt idx="110">
                  <c:v>22.200000000000003</c:v>
                </c:pt>
                <c:pt idx="111">
                  <c:v>22.400000000000002</c:v>
                </c:pt>
                <c:pt idx="112">
                  <c:v>22.6</c:v>
                </c:pt>
                <c:pt idx="113">
                  <c:v>22.8</c:v>
                </c:pt>
                <c:pt idx="114">
                  <c:v>23</c:v>
                </c:pt>
                <c:pt idx="115">
                  <c:v>23.200000000000003</c:v>
                </c:pt>
                <c:pt idx="116">
                  <c:v>23.400000000000002</c:v>
                </c:pt>
                <c:pt idx="117">
                  <c:v>23.6</c:v>
                </c:pt>
                <c:pt idx="118">
                  <c:v>23.8</c:v>
                </c:pt>
                <c:pt idx="119">
                  <c:v>24</c:v>
                </c:pt>
                <c:pt idx="120">
                  <c:v>24.200000000000003</c:v>
                </c:pt>
                <c:pt idx="121">
                  <c:v>24.400000000000002</c:v>
                </c:pt>
                <c:pt idx="122">
                  <c:v>24.6</c:v>
                </c:pt>
                <c:pt idx="123">
                  <c:v>24.8</c:v>
                </c:pt>
                <c:pt idx="124">
                  <c:v>25</c:v>
                </c:pt>
                <c:pt idx="125">
                  <c:v>25.200000000000003</c:v>
                </c:pt>
                <c:pt idx="126">
                  <c:v>25.400000000000002</c:v>
                </c:pt>
                <c:pt idx="127">
                  <c:v>25.6</c:v>
                </c:pt>
                <c:pt idx="128">
                  <c:v>25.8</c:v>
                </c:pt>
                <c:pt idx="129">
                  <c:v>26</c:v>
                </c:pt>
                <c:pt idx="130">
                  <c:v>26.200000000000003</c:v>
                </c:pt>
                <c:pt idx="131">
                  <c:v>26.400000000000002</c:v>
                </c:pt>
                <c:pt idx="132">
                  <c:v>26.6</c:v>
                </c:pt>
                <c:pt idx="133">
                  <c:v>26.8</c:v>
                </c:pt>
                <c:pt idx="134">
                  <c:v>27</c:v>
                </c:pt>
                <c:pt idx="135">
                  <c:v>27.200000000000003</c:v>
                </c:pt>
                <c:pt idx="136">
                  <c:v>27.400000000000002</c:v>
                </c:pt>
                <c:pt idx="137">
                  <c:v>27.6</c:v>
                </c:pt>
                <c:pt idx="138">
                  <c:v>27.8</c:v>
                </c:pt>
                <c:pt idx="139">
                  <c:v>28</c:v>
                </c:pt>
                <c:pt idx="140">
                  <c:v>28.200000000000003</c:v>
                </c:pt>
                <c:pt idx="141">
                  <c:v>28.400000000000002</c:v>
                </c:pt>
                <c:pt idx="142">
                  <c:v>28.6</c:v>
                </c:pt>
                <c:pt idx="143">
                  <c:v>28.8</c:v>
                </c:pt>
                <c:pt idx="144">
                  <c:v>29</c:v>
                </c:pt>
                <c:pt idx="145">
                  <c:v>29.200000000000003</c:v>
                </c:pt>
                <c:pt idx="146">
                  <c:v>29.400000000000002</c:v>
                </c:pt>
                <c:pt idx="147">
                  <c:v>29.6</c:v>
                </c:pt>
                <c:pt idx="148">
                  <c:v>29.8</c:v>
                </c:pt>
                <c:pt idx="149">
                  <c:v>30</c:v>
                </c:pt>
                <c:pt idx="150">
                  <c:v>30.200000000000003</c:v>
                </c:pt>
                <c:pt idx="151">
                  <c:v>30.400000000000002</c:v>
                </c:pt>
                <c:pt idx="152">
                  <c:v>30.6</c:v>
                </c:pt>
                <c:pt idx="153">
                  <c:v>30.8</c:v>
                </c:pt>
                <c:pt idx="154">
                  <c:v>31</c:v>
                </c:pt>
                <c:pt idx="155">
                  <c:v>31.200000000000003</c:v>
                </c:pt>
                <c:pt idx="156">
                  <c:v>31.400000000000002</c:v>
                </c:pt>
                <c:pt idx="157">
                  <c:v>31.6</c:v>
                </c:pt>
                <c:pt idx="158">
                  <c:v>31.8</c:v>
                </c:pt>
                <c:pt idx="159">
                  <c:v>32</c:v>
                </c:pt>
                <c:pt idx="160">
                  <c:v>32.200000000000003</c:v>
                </c:pt>
                <c:pt idx="161">
                  <c:v>32.4</c:v>
                </c:pt>
                <c:pt idx="162">
                  <c:v>32.6</c:v>
                </c:pt>
                <c:pt idx="163">
                  <c:v>32.800000000000004</c:v>
                </c:pt>
                <c:pt idx="164">
                  <c:v>33</c:v>
                </c:pt>
                <c:pt idx="165">
                  <c:v>33.200000000000003</c:v>
                </c:pt>
                <c:pt idx="166">
                  <c:v>33.4</c:v>
                </c:pt>
                <c:pt idx="167">
                  <c:v>33.6</c:v>
                </c:pt>
                <c:pt idx="168">
                  <c:v>33.800000000000004</c:v>
                </c:pt>
                <c:pt idx="169">
                  <c:v>34</c:v>
                </c:pt>
                <c:pt idx="170">
                  <c:v>34.200000000000003</c:v>
                </c:pt>
                <c:pt idx="171">
                  <c:v>34.4</c:v>
                </c:pt>
                <c:pt idx="172">
                  <c:v>34.6</c:v>
                </c:pt>
                <c:pt idx="173">
                  <c:v>34.800000000000004</c:v>
                </c:pt>
                <c:pt idx="174">
                  <c:v>35</c:v>
                </c:pt>
                <c:pt idx="175">
                  <c:v>35.200000000000003</c:v>
                </c:pt>
                <c:pt idx="176">
                  <c:v>35.4</c:v>
                </c:pt>
                <c:pt idx="177">
                  <c:v>35.6</c:v>
                </c:pt>
                <c:pt idx="178">
                  <c:v>35.800000000000004</c:v>
                </c:pt>
                <c:pt idx="179">
                  <c:v>36</c:v>
                </c:pt>
                <c:pt idx="180">
                  <c:v>36.200000000000003</c:v>
                </c:pt>
                <c:pt idx="181">
                  <c:v>36.4</c:v>
                </c:pt>
                <c:pt idx="182">
                  <c:v>36.6</c:v>
                </c:pt>
                <c:pt idx="183">
                  <c:v>36.800000000000004</c:v>
                </c:pt>
                <c:pt idx="184">
                  <c:v>37</c:v>
                </c:pt>
                <c:pt idx="185">
                  <c:v>37.200000000000003</c:v>
                </c:pt>
                <c:pt idx="186">
                  <c:v>37.4</c:v>
                </c:pt>
                <c:pt idx="187">
                  <c:v>37.6</c:v>
                </c:pt>
                <c:pt idx="188">
                  <c:v>37.800000000000004</c:v>
                </c:pt>
                <c:pt idx="189">
                  <c:v>38</c:v>
                </c:pt>
                <c:pt idx="190">
                  <c:v>38.200000000000003</c:v>
                </c:pt>
                <c:pt idx="191">
                  <c:v>38.400000000000006</c:v>
                </c:pt>
                <c:pt idx="192">
                  <c:v>38.6</c:v>
                </c:pt>
                <c:pt idx="193">
                  <c:v>38.800000000000004</c:v>
                </c:pt>
                <c:pt idx="194">
                  <c:v>39</c:v>
                </c:pt>
                <c:pt idx="195">
                  <c:v>39.200000000000003</c:v>
                </c:pt>
                <c:pt idx="196">
                  <c:v>39.400000000000006</c:v>
                </c:pt>
                <c:pt idx="197">
                  <c:v>39.6</c:v>
                </c:pt>
                <c:pt idx="198">
                  <c:v>39.800000000000004</c:v>
                </c:pt>
                <c:pt idx="199">
                  <c:v>40</c:v>
                </c:pt>
                <c:pt idx="200">
                  <c:v>40.200000000000003</c:v>
                </c:pt>
                <c:pt idx="201">
                  <c:v>40.400000000000006</c:v>
                </c:pt>
                <c:pt idx="202">
                  <c:v>40.6</c:v>
                </c:pt>
                <c:pt idx="203">
                  <c:v>40.800000000000004</c:v>
                </c:pt>
                <c:pt idx="204">
                  <c:v>41</c:v>
                </c:pt>
                <c:pt idx="205">
                  <c:v>41.2</c:v>
                </c:pt>
                <c:pt idx="206">
                  <c:v>41.400000000000006</c:v>
                </c:pt>
                <c:pt idx="207">
                  <c:v>41.6</c:v>
                </c:pt>
                <c:pt idx="208">
                  <c:v>41.800000000000004</c:v>
                </c:pt>
                <c:pt idx="209">
                  <c:v>42</c:v>
                </c:pt>
                <c:pt idx="210">
                  <c:v>42.2</c:v>
                </c:pt>
                <c:pt idx="211">
                  <c:v>42.400000000000006</c:v>
                </c:pt>
                <c:pt idx="212">
                  <c:v>42.6</c:v>
                </c:pt>
                <c:pt idx="213">
                  <c:v>42.800000000000004</c:v>
                </c:pt>
                <c:pt idx="214">
                  <c:v>43</c:v>
                </c:pt>
                <c:pt idx="215">
                  <c:v>43.2</c:v>
                </c:pt>
                <c:pt idx="216">
                  <c:v>43.400000000000006</c:v>
                </c:pt>
                <c:pt idx="217">
                  <c:v>43.6</c:v>
                </c:pt>
                <c:pt idx="218">
                  <c:v>43.800000000000004</c:v>
                </c:pt>
                <c:pt idx="219">
                  <c:v>44</c:v>
                </c:pt>
                <c:pt idx="220">
                  <c:v>44.2</c:v>
                </c:pt>
                <c:pt idx="221">
                  <c:v>44.400000000000006</c:v>
                </c:pt>
                <c:pt idx="222">
                  <c:v>44.6</c:v>
                </c:pt>
                <c:pt idx="223">
                  <c:v>44.800000000000004</c:v>
                </c:pt>
                <c:pt idx="224">
                  <c:v>45</c:v>
                </c:pt>
                <c:pt idx="225">
                  <c:v>45.2</c:v>
                </c:pt>
                <c:pt idx="226">
                  <c:v>45.400000000000006</c:v>
                </c:pt>
                <c:pt idx="227">
                  <c:v>45.6</c:v>
                </c:pt>
                <c:pt idx="228">
                  <c:v>45.800000000000004</c:v>
                </c:pt>
                <c:pt idx="229">
                  <c:v>46</c:v>
                </c:pt>
                <c:pt idx="230">
                  <c:v>46.2</c:v>
                </c:pt>
                <c:pt idx="231">
                  <c:v>46.400000000000006</c:v>
                </c:pt>
                <c:pt idx="232">
                  <c:v>46.6</c:v>
                </c:pt>
                <c:pt idx="233">
                  <c:v>46.800000000000004</c:v>
                </c:pt>
                <c:pt idx="234">
                  <c:v>47</c:v>
                </c:pt>
                <c:pt idx="235">
                  <c:v>47.2</c:v>
                </c:pt>
                <c:pt idx="236">
                  <c:v>47.400000000000006</c:v>
                </c:pt>
                <c:pt idx="237">
                  <c:v>47.6</c:v>
                </c:pt>
                <c:pt idx="238">
                  <c:v>47.800000000000004</c:v>
                </c:pt>
                <c:pt idx="239">
                  <c:v>48</c:v>
                </c:pt>
                <c:pt idx="240">
                  <c:v>48.2</c:v>
                </c:pt>
                <c:pt idx="241">
                  <c:v>48.400000000000006</c:v>
                </c:pt>
                <c:pt idx="242">
                  <c:v>48.6</c:v>
                </c:pt>
                <c:pt idx="243">
                  <c:v>48.800000000000004</c:v>
                </c:pt>
                <c:pt idx="244">
                  <c:v>49</c:v>
                </c:pt>
                <c:pt idx="245">
                  <c:v>49.2</c:v>
                </c:pt>
                <c:pt idx="246">
                  <c:v>49.400000000000006</c:v>
                </c:pt>
                <c:pt idx="247">
                  <c:v>49.6</c:v>
                </c:pt>
                <c:pt idx="248">
                  <c:v>49.800000000000004</c:v>
                </c:pt>
                <c:pt idx="249">
                  <c:v>50</c:v>
                </c:pt>
                <c:pt idx="250">
                  <c:v>50.2</c:v>
                </c:pt>
                <c:pt idx="251">
                  <c:v>50.400000000000006</c:v>
                </c:pt>
                <c:pt idx="252">
                  <c:v>50.6</c:v>
                </c:pt>
                <c:pt idx="253">
                  <c:v>50.800000000000004</c:v>
                </c:pt>
                <c:pt idx="254">
                  <c:v>51</c:v>
                </c:pt>
                <c:pt idx="255">
                  <c:v>51.2</c:v>
                </c:pt>
                <c:pt idx="256">
                  <c:v>51.400000000000006</c:v>
                </c:pt>
                <c:pt idx="257">
                  <c:v>51.6</c:v>
                </c:pt>
                <c:pt idx="258">
                  <c:v>51.800000000000004</c:v>
                </c:pt>
                <c:pt idx="259">
                  <c:v>52</c:v>
                </c:pt>
                <c:pt idx="260">
                  <c:v>52.2</c:v>
                </c:pt>
                <c:pt idx="261">
                  <c:v>52.400000000000006</c:v>
                </c:pt>
                <c:pt idx="262">
                  <c:v>52.6</c:v>
                </c:pt>
                <c:pt idx="263">
                  <c:v>52.800000000000004</c:v>
                </c:pt>
                <c:pt idx="264">
                  <c:v>53</c:v>
                </c:pt>
                <c:pt idx="265">
                  <c:v>53.2</c:v>
                </c:pt>
                <c:pt idx="266">
                  <c:v>53.400000000000006</c:v>
                </c:pt>
                <c:pt idx="267">
                  <c:v>53.6</c:v>
                </c:pt>
                <c:pt idx="268">
                  <c:v>53.800000000000004</c:v>
                </c:pt>
                <c:pt idx="269">
                  <c:v>54</c:v>
                </c:pt>
                <c:pt idx="270">
                  <c:v>54.2</c:v>
                </c:pt>
                <c:pt idx="271">
                  <c:v>54.400000000000006</c:v>
                </c:pt>
                <c:pt idx="272">
                  <c:v>54.6</c:v>
                </c:pt>
                <c:pt idx="273">
                  <c:v>54.800000000000004</c:v>
                </c:pt>
                <c:pt idx="274">
                  <c:v>55</c:v>
                </c:pt>
                <c:pt idx="275">
                  <c:v>55.2</c:v>
                </c:pt>
                <c:pt idx="276">
                  <c:v>55.400000000000006</c:v>
                </c:pt>
                <c:pt idx="277">
                  <c:v>55.6</c:v>
                </c:pt>
                <c:pt idx="278">
                  <c:v>55.800000000000004</c:v>
                </c:pt>
                <c:pt idx="279">
                  <c:v>56</c:v>
                </c:pt>
                <c:pt idx="280">
                  <c:v>56.2</c:v>
                </c:pt>
                <c:pt idx="281">
                  <c:v>56.400000000000006</c:v>
                </c:pt>
                <c:pt idx="282">
                  <c:v>56.6</c:v>
                </c:pt>
                <c:pt idx="283">
                  <c:v>56.800000000000004</c:v>
                </c:pt>
                <c:pt idx="284">
                  <c:v>57</c:v>
                </c:pt>
                <c:pt idx="285">
                  <c:v>57.2</c:v>
                </c:pt>
                <c:pt idx="286">
                  <c:v>57.400000000000006</c:v>
                </c:pt>
                <c:pt idx="287">
                  <c:v>57.6</c:v>
                </c:pt>
                <c:pt idx="288">
                  <c:v>57.800000000000004</c:v>
                </c:pt>
                <c:pt idx="289">
                  <c:v>58</c:v>
                </c:pt>
                <c:pt idx="290">
                  <c:v>58.2</c:v>
                </c:pt>
                <c:pt idx="291">
                  <c:v>58.400000000000006</c:v>
                </c:pt>
                <c:pt idx="292">
                  <c:v>58.6</c:v>
                </c:pt>
                <c:pt idx="293">
                  <c:v>58.800000000000004</c:v>
                </c:pt>
                <c:pt idx="294">
                  <c:v>59</c:v>
                </c:pt>
                <c:pt idx="295">
                  <c:v>59.2</c:v>
                </c:pt>
                <c:pt idx="296">
                  <c:v>59.400000000000006</c:v>
                </c:pt>
                <c:pt idx="297">
                  <c:v>59.6</c:v>
                </c:pt>
                <c:pt idx="298">
                  <c:v>59.800000000000004</c:v>
                </c:pt>
                <c:pt idx="299">
                  <c:v>60</c:v>
                </c:pt>
                <c:pt idx="300">
                  <c:v>60.2</c:v>
                </c:pt>
                <c:pt idx="301">
                  <c:v>60.400000000000006</c:v>
                </c:pt>
                <c:pt idx="302">
                  <c:v>60.6</c:v>
                </c:pt>
                <c:pt idx="303">
                  <c:v>60.800000000000004</c:v>
                </c:pt>
                <c:pt idx="304">
                  <c:v>61</c:v>
                </c:pt>
                <c:pt idx="305">
                  <c:v>61.2</c:v>
                </c:pt>
                <c:pt idx="306">
                  <c:v>61.400000000000006</c:v>
                </c:pt>
                <c:pt idx="307">
                  <c:v>61.6</c:v>
                </c:pt>
                <c:pt idx="308">
                  <c:v>61.800000000000004</c:v>
                </c:pt>
                <c:pt idx="309">
                  <c:v>62</c:v>
                </c:pt>
                <c:pt idx="310">
                  <c:v>62.2</c:v>
                </c:pt>
                <c:pt idx="311">
                  <c:v>62.400000000000006</c:v>
                </c:pt>
                <c:pt idx="312">
                  <c:v>62.6</c:v>
                </c:pt>
                <c:pt idx="313">
                  <c:v>62.800000000000004</c:v>
                </c:pt>
                <c:pt idx="314">
                  <c:v>63</c:v>
                </c:pt>
                <c:pt idx="315">
                  <c:v>63.2</c:v>
                </c:pt>
                <c:pt idx="316">
                  <c:v>63.400000000000006</c:v>
                </c:pt>
                <c:pt idx="317">
                  <c:v>63.6</c:v>
                </c:pt>
                <c:pt idx="318">
                  <c:v>63.800000000000004</c:v>
                </c:pt>
                <c:pt idx="319">
                  <c:v>64</c:v>
                </c:pt>
                <c:pt idx="320">
                  <c:v>64.2</c:v>
                </c:pt>
                <c:pt idx="321">
                  <c:v>64.400000000000006</c:v>
                </c:pt>
                <c:pt idx="322">
                  <c:v>64.600000000000009</c:v>
                </c:pt>
                <c:pt idx="323">
                  <c:v>64.8</c:v>
                </c:pt>
                <c:pt idx="324">
                  <c:v>65</c:v>
                </c:pt>
                <c:pt idx="325">
                  <c:v>65.2</c:v>
                </c:pt>
                <c:pt idx="326">
                  <c:v>65.400000000000006</c:v>
                </c:pt>
                <c:pt idx="327">
                  <c:v>65.600000000000009</c:v>
                </c:pt>
                <c:pt idx="328">
                  <c:v>65.8</c:v>
                </c:pt>
                <c:pt idx="329">
                  <c:v>66</c:v>
                </c:pt>
                <c:pt idx="330">
                  <c:v>66.2</c:v>
                </c:pt>
                <c:pt idx="331">
                  <c:v>66.400000000000006</c:v>
                </c:pt>
                <c:pt idx="332">
                  <c:v>66.600000000000009</c:v>
                </c:pt>
                <c:pt idx="333">
                  <c:v>66.8</c:v>
                </c:pt>
                <c:pt idx="334">
                  <c:v>67</c:v>
                </c:pt>
                <c:pt idx="335">
                  <c:v>67.2</c:v>
                </c:pt>
                <c:pt idx="336">
                  <c:v>67.400000000000006</c:v>
                </c:pt>
                <c:pt idx="337">
                  <c:v>67.600000000000009</c:v>
                </c:pt>
                <c:pt idx="338">
                  <c:v>67.8</c:v>
                </c:pt>
                <c:pt idx="339">
                  <c:v>68</c:v>
                </c:pt>
                <c:pt idx="340">
                  <c:v>68.2</c:v>
                </c:pt>
                <c:pt idx="341">
                  <c:v>68.400000000000006</c:v>
                </c:pt>
                <c:pt idx="342">
                  <c:v>68.600000000000009</c:v>
                </c:pt>
                <c:pt idx="343">
                  <c:v>68.8</c:v>
                </c:pt>
                <c:pt idx="344">
                  <c:v>69</c:v>
                </c:pt>
                <c:pt idx="345">
                  <c:v>69.2</c:v>
                </c:pt>
                <c:pt idx="346">
                  <c:v>69.400000000000006</c:v>
                </c:pt>
                <c:pt idx="347">
                  <c:v>69.600000000000009</c:v>
                </c:pt>
                <c:pt idx="348">
                  <c:v>69.8</c:v>
                </c:pt>
                <c:pt idx="349">
                  <c:v>70</c:v>
                </c:pt>
                <c:pt idx="350">
                  <c:v>70.2</c:v>
                </c:pt>
                <c:pt idx="351">
                  <c:v>70.400000000000006</c:v>
                </c:pt>
                <c:pt idx="352">
                  <c:v>70.600000000000009</c:v>
                </c:pt>
                <c:pt idx="353">
                  <c:v>70.8</c:v>
                </c:pt>
                <c:pt idx="354">
                  <c:v>71</c:v>
                </c:pt>
                <c:pt idx="355">
                  <c:v>71.2</c:v>
                </c:pt>
                <c:pt idx="356">
                  <c:v>71.400000000000006</c:v>
                </c:pt>
                <c:pt idx="357">
                  <c:v>71.600000000000009</c:v>
                </c:pt>
                <c:pt idx="358">
                  <c:v>71.8</c:v>
                </c:pt>
                <c:pt idx="359">
                  <c:v>72</c:v>
                </c:pt>
                <c:pt idx="360">
                  <c:v>72.2</c:v>
                </c:pt>
                <c:pt idx="361">
                  <c:v>72.400000000000006</c:v>
                </c:pt>
                <c:pt idx="362">
                  <c:v>72.600000000000009</c:v>
                </c:pt>
                <c:pt idx="363">
                  <c:v>72.8</c:v>
                </c:pt>
                <c:pt idx="364">
                  <c:v>73</c:v>
                </c:pt>
                <c:pt idx="365">
                  <c:v>73.2</c:v>
                </c:pt>
                <c:pt idx="366">
                  <c:v>73.400000000000006</c:v>
                </c:pt>
                <c:pt idx="367">
                  <c:v>73.600000000000009</c:v>
                </c:pt>
                <c:pt idx="368">
                  <c:v>73.8</c:v>
                </c:pt>
                <c:pt idx="369">
                  <c:v>74</c:v>
                </c:pt>
                <c:pt idx="370">
                  <c:v>74.2</c:v>
                </c:pt>
                <c:pt idx="371">
                  <c:v>74.400000000000006</c:v>
                </c:pt>
                <c:pt idx="372">
                  <c:v>74.600000000000009</c:v>
                </c:pt>
                <c:pt idx="373">
                  <c:v>74.8</c:v>
                </c:pt>
                <c:pt idx="374">
                  <c:v>75</c:v>
                </c:pt>
                <c:pt idx="375">
                  <c:v>75.2</c:v>
                </c:pt>
                <c:pt idx="376">
                  <c:v>75.400000000000006</c:v>
                </c:pt>
                <c:pt idx="377">
                  <c:v>75.600000000000009</c:v>
                </c:pt>
                <c:pt idx="378">
                  <c:v>75.8</c:v>
                </c:pt>
                <c:pt idx="379">
                  <c:v>76</c:v>
                </c:pt>
                <c:pt idx="380">
                  <c:v>76.2</c:v>
                </c:pt>
                <c:pt idx="381">
                  <c:v>76.400000000000006</c:v>
                </c:pt>
                <c:pt idx="382">
                  <c:v>76.600000000000009</c:v>
                </c:pt>
                <c:pt idx="383">
                  <c:v>76.800000000000011</c:v>
                </c:pt>
                <c:pt idx="384">
                  <c:v>77</c:v>
                </c:pt>
                <c:pt idx="385">
                  <c:v>77.2</c:v>
                </c:pt>
                <c:pt idx="386">
                  <c:v>77.400000000000006</c:v>
                </c:pt>
                <c:pt idx="387">
                  <c:v>77.600000000000009</c:v>
                </c:pt>
                <c:pt idx="388">
                  <c:v>77.800000000000011</c:v>
                </c:pt>
                <c:pt idx="389">
                  <c:v>78</c:v>
                </c:pt>
                <c:pt idx="390">
                  <c:v>78.2</c:v>
                </c:pt>
                <c:pt idx="391">
                  <c:v>78.400000000000006</c:v>
                </c:pt>
                <c:pt idx="392">
                  <c:v>78.600000000000009</c:v>
                </c:pt>
                <c:pt idx="393">
                  <c:v>78.800000000000011</c:v>
                </c:pt>
                <c:pt idx="394">
                  <c:v>79</c:v>
                </c:pt>
                <c:pt idx="395">
                  <c:v>79.2</c:v>
                </c:pt>
                <c:pt idx="396">
                  <c:v>79.400000000000006</c:v>
                </c:pt>
                <c:pt idx="397">
                  <c:v>79.600000000000009</c:v>
                </c:pt>
                <c:pt idx="398">
                  <c:v>79.800000000000011</c:v>
                </c:pt>
                <c:pt idx="399">
                  <c:v>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02352"/>
        <c:axId val="275502912"/>
      </c:scatterChart>
      <c:valAx>
        <c:axId val="27550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502912"/>
        <c:crosses val="autoZero"/>
        <c:crossBetween val="midCat"/>
      </c:valAx>
      <c:valAx>
        <c:axId val="27550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50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step-c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Sheet1!$H$5:$H$60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Sheet1!$I$5:$I$60</c:f>
              <c:numCache>
                <c:formatCode>General</c:formatCode>
                <c:ptCount val="56"/>
                <c:pt idx="0">
                  <c:v>1099</c:v>
                </c:pt>
                <c:pt idx="1">
                  <c:v>1099</c:v>
                </c:pt>
                <c:pt idx="2">
                  <c:v>1099</c:v>
                </c:pt>
                <c:pt idx="3">
                  <c:v>1099</c:v>
                </c:pt>
                <c:pt idx="4">
                  <c:v>1099</c:v>
                </c:pt>
                <c:pt idx="5">
                  <c:v>1099</c:v>
                </c:pt>
                <c:pt idx="6">
                  <c:v>1099</c:v>
                </c:pt>
                <c:pt idx="7">
                  <c:v>1099</c:v>
                </c:pt>
                <c:pt idx="8">
                  <c:v>1099</c:v>
                </c:pt>
                <c:pt idx="9">
                  <c:v>1099</c:v>
                </c:pt>
                <c:pt idx="10">
                  <c:v>1099</c:v>
                </c:pt>
                <c:pt idx="11">
                  <c:v>1099</c:v>
                </c:pt>
                <c:pt idx="12">
                  <c:v>1099</c:v>
                </c:pt>
                <c:pt idx="13">
                  <c:v>1098</c:v>
                </c:pt>
                <c:pt idx="14">
                  <c:v>1097</c:v>
                </c:pt>
                <c:pt idx="15">
                  <c:v>1095</c:v>
                </c:pt>
                <c:pt idx="16">
                  <c:v>1093</c:v>
                </c:pt>
                <c:pt idx="17">
                  <c:v>1090</c:v>
                </c:pt>
                <c:pt idx="18">
                  <c:v>1085</c:v>
                </c:pt>
                <c:pt idx="19">
                  <c:v>1079</c:v>
                </c:pt>
                <c:pt idx="20">
                  <c:v>1073</c:v>
                </c:pt>
                <c:pt idx="21">
                  <c:v>1067</c:v>
                </c:pt>
                <c:pt idx="22">
                  <c:v>1061</c:v>
                </c:pt>
                <c:pt idx="23">
                  <c:v>1056</c:v>
                </c:pt>
                <c:pt idx="24">
                  <c:v>1053</c:v>
                </c:pt>
                <c:pt idx="25">
                  <c:v>1051</c:v>
                </c:pt>
                <c:pt idx="26">
                  <c:v>1049</c:v>
                </c:pt>
                <c:pt idx="27">
                  <c:v>1048</c:v>
                </c:pt>
                <c:pt idx="28">
                  <c:v>1047</c:v>
                </c:pt>
                <c:pt idx="29">
                  <c:v>1047</c:v>
                </c:pt>
                <c:pt idx="30">
                  <c:v>1047</c:v>
                </c:pt>
                <c:pt idx="31">
                  <c:v>1047</c:v>
                </c:pt>
                <c:pt idx="32">
                  <c:v>1047</c:v>
                </c:pt>
                <c:pt idx="33">
                  <c:v>1047</c:v>
                </c:pt>
                <c:pt idx="34">
                  <c:v>1047</c:v>
                </c:pt>
                <c:pt idx="35">
                  <c:v>1047</c:v>
                </c:pt>
                <c:pt idx="36">
                  <c:v>1047</c:v>
                </c:pt>
                <c:pt idx="37">
                  <c:v>1047</c:v>
                </c:pt>
                <c:pt idx="38">
                  <c:v>1047</c:v>
                </c:pt>
                <c:pt idx="39">
                  <c:v>1047</c:v>
                </c:pt>
                <c:pt idx="40">
                  <c:v>1047</c:v>
                </c:pt>
                <c:pt idx="41">
                  <c:v>1047</c:v>
                </c:pt>
                <c:pt idx="42">
                  <c:v>1047</c:v>
                </c:pt>
                <c:pt idx="43">
                  <c:v>1047</c:v>
                </c:pt>
                <c:pt idx="44">
                  <c:v>1047</c:v>
                </c:pt>
                <c:pt idx="45">
                  <c:v>1047</c:v>
                </c:pt>
                <c:pt idx="46">
                  <c:v>1047</c:v>
                </c:pt>
                <c:pt idx="47">
                  <c:v>1047</c:v>
                </c:pt>
                <c:pt idx="48">
                  <c:v>1047</c:v>
                </c:pt>
                <c:pt idx="49">
                  <c:v>1047</c:v>
                </c:pt>
                <c:pt idx="50">
                  <c:v>1047</c:v>
                </c:pt>
                <c:pt idx="51">
                  <c:v>1047</c:v>
                </c:pt>
                <c:pt idx="52">
                  <c:v>1047</c:v>
                </c:pt>
                <c:pt idx="53">
                  <c:v>1047</c:v>
                </c:pt>
                <c:pt idx="54">
                  <c:v>1047</c:v>
                </c:pt>
                <c:pt idx="55">
                  <c:v>1047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06272"/>
        <c:axId val="275506832"/>
      </c:scatterChart>
      <c:valAx>
        <c:axId val="27550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506832"/>
        <c:crosses val="autoZero"/>
        <c:crossBetween val="midCat"/>
      </c:valAx>
      <c:valAx>
        <c:axId val="27550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50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Sheet1!$M$5:$M$296</c:f>
              <c:strCache>
                <c:ptCount val="284"/>
                <c:pt idx="0">
                  <c:v>A1</c:v>
                </c:pt>
                <c:pt idx="1">
                  <c:v>A2</c:v>
                </c:pt>
                <c:pt idx="2">
                  <c:v>A3</c:v>
                </c:pt>
                <c:pt idx="3">
                  <c:v>A4</c:v>
                </c:pt>
                <c:pt idx="4">
                  <c:v>A5</c:v>
                </c:pt>
                <c:pt idx="5">
                  <c:v>A6</c:v>
                </c:pt>
                <c:pt idx="6">
                  <c:v>A7</c:v>
                </c:pt>
                <c:pt idx="7">
                  <c:v>A8</c:v>
                </c:pt>
                <c:pt idx="8">
                  <c:v>A9</c:v>
                </c:pt>
                <c:pt idx="9">
                  <c:v>A10</c:v>
                </c:pt>
                <c:pt idx="10">
                  <c:v>A11</c:v>
                </c:pt>
                <c:pt idx="11">
                  <c:v>A12</c:v>
                </c:pt>
                <c:pt idx="12">
                  <c:v>A13</c:v>
                </c:pt>
                <c:pt idx="13">
                  <c:v>A14</c:v>
                </c:pt>
                <c:pt idx="14">
                  <c:v>A15</c:v>
                </c:pt>
                <c:pt idx="15">
                  <c:v>A16</c:v>
                </c:pt>
                <c:pt idx="16">
                  <c:v>A17</c:v>
                </c:pt>
                <c:pt idx="17">
                  <c:v>A18</c:v>
                </c:pt>
                <c:pt idx="18">
                  <c:v>A19</c:v>
                </c:pt>
                <c:pt idx="19">
                  <c:v>A20</c:v>
                </c:pt>
                <c:pt idx="20">
                  <c:v>A21</c:v>
                </c:pt>
                <c:pt idx="21">
                  <c:v>A22</c:v>
                </c:pt>
                <c:pt idx="22">
                  <c:v>A23</c:v>
                </c:pt>
                <c:pt idx="23">
                  <c:v>A24</c:v>
                </c:pt>
                <c:pt idx="24">
                  <c:v>A25</c:v>
                </c:pt>
                <c:pt idx="25">
                  <c:v>A26</c:v>
                </c:pt>
                <c:pt idx="26">
                  <c:v>A27</c:v>
                </c:pt>
                <c:pt idx="27">
                  <c:v>A28</c:v>
                </c:pt>
                <c:pt idx="28">
                  <c:v>A29</c:v>
                </c:pt>
                <c:pt idx="29">
                  <c:v>A30</c:v>
                </c:pt>
                <c:pt idx="30">
                  <c:v>A31</c:v>
                </c:pt>
                <c:pt idx="31">
                  <c:v>A32</c:v>
                </c:pt>
                <c:pt idx="32">
                  <c:v>A33</c:v>
                </c:pt>
                <c:pt idx="33">
                  <c:v>A34</c:v>
                </c:pt>
                <c:pt idx="34">
                  <c:v>A35</c:v>
                </c:pt>
                <c:pt idx="35">
                  <c:v>A36</c:v>
                </c:pt>
                <c:pt idx="36">
                  <c:v>A37</c:v>
                </c:pt>
                <c:pt idx="37">
                  <c:v>A38</c:v>
                </c:pt>
                <c:pt idx="38">
                  <c:v>A39</c:v>
                </c:pt>
                <c:pt idx="39">
                  <c:v>A40</c:v>
                </c:pt>
                <c:pt idx="40">
                  <c:v>A41</c:v>
                </c:pt>
                <c:pt idx="41">
                  <c:v>A42</c:v>
                </c:pt>
                <c:pt idx="42">
                  <c:v>A43</c:v>
                </c:pt>
                <c:pt idx="43">
                  <c:v>A44</c:v>
                </c:pt>
                <c:pt idx="44">
                  <c:v>A45</c:v>
                </c:pt>
                <c:pt idx="45">
                  <c:v>A46</c:v>
                </c:pt>
                <c:pt idx="46">
                  <c:v>A47</c:v>
                </c:pt>
                <c:pt idx="47">
                  <c:v>A48</c:v>
                </c:pt>
                <c:pt idx="48">
                  <c:v>A49</c:v>
                </c:pt>
                <c:pt idx="49">
                  <c:v>A50</c:v>
                </c:pt>
                <c:pt idx="50">
                  <c:v>A51</c:v>
                </c:pt>
                <c:pt idx="51">
                  <c:v>A52</c:v>
                </c:pt>
                <c:pt idx="52">
                  <c:v>A53</c:v>
                </c:pt>
                <c:pt idx="53">
                  <c:v>A54</c:v>
                </c:pt>
                <c:pt idx="54">
                  <c:v>A55</c:v>
                </c:pt>
                <c:pt idx="55">
                  <c:v>A56</c:v>
                </c:pt>
                <c:pt idx="56">
                  <c:v>A57</c:v>
                </c:pt>
                <c:pt idx="57">
                  <c:v>A58</c:v>
                </c:pt>
                <c:pt idx="58">
                  <c:v>A59</c:v>
                </c:pt>
                <c:pt idx="59">
                  <c:v>A60</c:v>
                </c:pt>
                <c:pt idx="60">
                  <c:v>A61</c:v>
                </c:pt>
                <c:pt idx="61">
                  <c:v>A62</c:v>
                </c:pt>
                <c:pt idx="62">
                  <c:v>A63</c:v>
                </c:pt>
                <c:pt idx="63">
                  <c:v>A64</c:v>
                </c:pt>
                <c:pt idx="64">
                  <c:v>A65</c:v>
                </c:pt>
                <c:pt idx="65">
                  <c:v>A66</c:v>
                </c:pt>
                <c:pt idx="66">
                  <c:v>A67</c:v>
                </c:pt>
                <c:pt idx="67">
                  <c:v>A68</c:v>
                </c:pt>
                <c:pt idx="68">
                  <c:v>A69</c:v>
                </c:pt>
                <c:pt idx="69">
                  <c:v>A70</c:v>
                </c:pt>
                <c:pt idx="70">
                  <c:v>A71</c:v>
                </c:pt>
                <c:pt idx="71">
                  <c:v>A72</c:v>
                </c:pt>
                <c:pt idx="72">
                  <c:v>A73</c:v>
                </c:pt>
                <c:pt idx="73">
                  <c:v>A74</c:v>
                </c:pt>
                <c:pt idx="74">
                  <c:v>A75</c:v>
                </c:pt>
                <c:pt idx="75">
                  <c:v>A76</c:v>
                </c:pt>
                <c:pt idx="76">
                  <c:v>A77</c:v>
                </c:pt>
                <c:pt idx="77">
                  <c:v>A78</c:v>
                </c:pt>
                <c:pt idx="78">
                  <c:v>A79</c:v>
                </c:pt>
                <c:pt idx="79">
                  <c:v>A80</c:v>
                </c:pt>
                <c:pt idx="80">
                  <c:v>A81</c:v>
                </c:pt>
                <c:pt idx="81">
                  <c:v>A82</c:v>
                </c:pt>
                <c:pt idx="82">
                  <c:v>A83</c:v>
                </c:pt>
                <c:pt idx="83">
                  <c:v>A84</c:v>
                </c:pt>
                <c:pt idx="84">
                  <c:v>A85</c:v>
                </c:pt>
                <c:pt idx="85">
                  <c:v>A86</c:v>
                </c:pt>
                <c:pt idx="86">
                  <c:v>A87</c:v>
                </c:pt>
                <c:pt idx="87">
                  <c:v>A88</c:v>
                </c:pt>
                <c:pt idx="88">
                  <c:v>A89</c:v>
                </c:pt>
                <c:pt idx="89">
                  <c:v>A90</c:v>
                </c:pt>
                <c:pt idx="90">
                  <c:v>A91</c:v>
                </c:pt>
                <c:pt idx="91">
                  <c:v>A92</c:v>
                </c:pt>
                <c:pt idx="92">
                  <c:v>A93</c:v>
                </c:pt>
                <c:pt idx="93">
                  <c:v>A94</c:v>
                </c:pt>
                <c:pt idx="94">
                  <c:v>A95</c:v>
                </c:pt>
                <c:pt idx="95">
                  <c:v>A96</c:v>
                </c:pt>
                <c:pt idx="96">
                  <c:v>A97</c:v>
                </c:pt>
                <c:pt idx="97">
                  <c:v>A98</c:v>
                </c:pt>
                <c:pt idx="98">
                  <c:v>A99</c:v>
                </c:pt>
                <c:pt idx="99">
                  <c:v>A100</c:v>
                </c:pt>
                <c:pt idx="100">
                  <c:v>A101</c:v>
                </c:pt>
                <c:pt idx="101">
                  <c:v>A102</c:v>
                </c:pt>
                <c:pt idx="102">
                  <c:v>A103</c:v>
                </c:pt>
                <c:pt idx="103">
                  <c:v>A104</c:v>
                </c:pt>
                <c:pt idx="104">
                  <c:v>A105</c:v>
                </c:pt>
                <c:pt idx="105">
                  <c:v>A106</c:v>
                </c:pt>
                <c:pt idx="106">
                  <c:v>A107</c:v>
                </c:pt>
                <c:pt idx="107">
                  <c:v>A108</c:v>
                </c:pt>
                <c:pt idx="108">
                  <c:v>A109</c:v>
                </c:pt>
                <c:pt idx="109">
                  <c:v>A110</c:v>
                </c:pt>
                <c:pt idx="110">
                  <c:v>A111</c:v>
                </c:pt>
                <c:pt idx="111">
                  <c:v>A112</c:v>
                </c:pt>
                <c:pt idx="112">
                  <c:v>A113</c:v>
                </c:pt>
                <c:pt idx="113">
                  <c:v>A114</c:v>
                </c:pt>
                <c:pt idx="114">
                  <c:v>A115</c:v>
                </c:pt>
                <c:pt idx="115">
                  <c:v>A116</c:v>
                </c:pt>
                <c:pt idx="116">
                  <c:v>A117</c:v>
                </c:pt>
                <c:pt idx="117">
                  <c:v>A118</c:v>
                </c:pt>
                <c:pt idx="118">
                  <c:v>A119</c:v>
                </c:pt>
                <c:pt idx="119">
                  <c:v>A120</c:v>
                </c:pt>
                <c:pt idx="120">
                  <c:v>A121</c:v>
                </c:pt>
                <c:pt idx="121">
                  <c:v>A122</c:v>
                </c:pt>
                <c:pt idx="122">
                  <c:v>A123</c:v>
                </c:pt>
                <c:pt idx="123">
                  <c:v>A124</c:v>
                </c:pt>
                <c:pt idx="124">
                  <c:v>A125</c:v>
                </c:pt>
                <c:pt idx="125">
                  <c:v>A126</c:v>
                </c:pt>
                <c:pt idx="126">
                  <c:v>A127</c:v>
                </c:pt>
                <c:pt idx="127">
                  <c:v>A128</c:v>
                </c:pt>
                <c:pt idx="128">
                  <c:v>A129</c:v>
                </c:pt>
                <c:pt idx="129">
                  <c:v>A130</c:v>
                </c:pt>
                <c:pt idx="130">
                  <c:v>A131</c:v>
                </c:pt>
                <c:pt idx="131">
                  <c:v>A132</c:v>
                </c:pt>
                <c:pt idx="132">
                  <c:v>A133</c:v>
                </c:pt>
                <c:pt idx="133">
                  <c:v>A134</c:v>
                </c:pt>
                <c:pt idx="134">
                  <c:v>A135</c:v>
                </c:pt>
                <c:pt idx="135">
                  <c:v>A136</c:v>
                </c:pt>
                <c:pt idx="136">
                  <c:v>A137</c:v>
                </c:pt>
                <c:pt idx="137">
                  <c:v>A138</c:v>
                </c:pt>
                <c:pt idx="138">
                  <c:v>A139</c:v>
                </c:pt>
                <c:pt idx="139">
                  <c:v>A140</c:v>
                </c:pt>
                <c:pt idx="140">
                  <c:v>A141</c:v>
                </c:pt>
                <c:pt idx="141">
                  <c:v>A142</c:v>
                </c:pt>
                <c:pt idx="142">
                  <c:v>D1</c:v>
                </c:pt>
                <c:pt idx="143">
                  <c:v>D2</c:v>
                </c:pt>
                <c:pt idx="144">
                  <c:v>D3</c:v>
                </c:pt>
                <c:pt idx="145">
                  <c:v>D4</c:v>
                </c:pt>
                <c:pt idx="146">
                  <c:v>D5</c:v>
                </c:pt>
                <c:pt idx="147">
                  <c:v>D6</c:v>
                </c:pt>
                <c:pt idx="148">
                  <c:v>D7</c:v>
                </c:pt>
                <c:pt idx="149">
                  <c:v>D8</c:v>
                </c:pt>
                <c:pt idx="150">
                  <c:v>D9</c:v>
                </c:pt>
                <c:pt idx="151">
                  <c:v>D10</c:v>
                </c:pt>
                <c:pt idx="152">
                  <c:v>D11</c:v>
                </c:pt>
                <c:pt idx="153">
                  <c:v>D12</c:v>
                </c:pt>
                <c:pt idx="154">
                  <c:v>D13</c:v>
                </c:pt>
                <c:pt idx="155">
                  <c:v>D14</c:v>
                </c:pt>
                <c:pt idx="156">
                  <c:v>D15</c:v>
                </c:pt>
                <c:pt idx="157">
                  <c:v>D16</c:v>
                </c:pt>
                <c:pt idx="158">
                  <c:v>D17</c:v>
                </c:pt>
                <c:pt idx="159">
                  <c:v>D18</c:v>
                </c:pt>
                <c:pt idx="160">
                  <c:v>D19</c:v>
                </c:pt>
                <c:pt idx="161">
                  <c:v>D20</c:v>
                </c:pt>
                <c:pt idx="162">
                  <c:v>D21</c:v>
                </c:pt>
                <c:pt idx="163">
                  <c:v>D22</c:v>
                </c:pt>
                <c:pt idx="164">
                  <c:v>D23</c:v>
                </c:pt>
                <c:pt idx="165">
                  <c:v>D24</c:v>
                </c:pt>
                <c:pt idx="166">
                  <c:v>D25</c:v>
                </c:pt>
                <c:pt idx="167">
                  <c:v>D26</c:v>
                </c:pt>
                <c:pt idx="168">
                  <c:v>D27</c:v>
                </c:pt>
                <c:pt idx="169">
                  <c:v>D28</c:v>
                </c:pt>
                <c:pt idx="170">
                  <c:v>D29</c:v>
                </c:pt>
                <c:pt idx="171">
                  <c:v>D30</c:v>
                </c:pt>
                <c:pt idx="172">
                  <c:v>D31</c:v>
                </c:pt>
                <c:pt idx="173">
                  <c:v>D32</c:v>
                </c:pt>
                <c:pt idx="174">
                  <c:v>D33</c:v>
                </c:pt>
                <c:pt idx="175">
                  <c:v>D34</c:v>
                </c:pt>
                <c:pt idx="176">
                  <c:v>D35</c:v>
                </c:pt>
                <c:pt idx="177">
                  <c:v>D36</c:v>
                </c:pt>
                <c:pt idx="178">
                  <c:v>D37</c:v>
                </c:pt>
                <c:pt idx="179">
                  <c:v>D38</c:v>
                </c:pt>
                <c:pt idx="180">
                  <c:v>D39</c:v>
                </c:pt>
                <c:pt idx="181">
                  <c:v>D40</c:v>
                </c:pt>
                <c:pt idx="182">
                  <c:v>D41</c:v>
                </c:pt>
                <c:pt idx="183">
                  <c:v>D42</c:v>
                </c:pt>
                <c:pt idx="184">
                  <c:v>D43</c:v>
                </c:pt>
                <c:pt idx="185">
                  <c:v>D44</c:v>
                </c:pt>
                <c:pt idx="186">
                  <c:v>D45</c:v>
                </c:pt>
                <c:pt idx="187">
                  <c:v>D46</c:v>
                </c:pt>
                <c:pt idx="188">
                  <c:v>D47</c:v>
                </c:pt>
                <c:pt idx="189">
                  <c:v>D48</c:v>
                </c:pt>
                <c:pt idx="190">
                  <c:v>D49</c:v>
                </c:pt>
                <c:pt idx="191">
                  <c:v>D50</c:v>
                </c:pt>
                <c:pt idx="192">
                  <c:v>D51</c:v>
                </c:pt>
                <c:pt idx="193">
                  <c:v>D52</c:v>
                </c:pt>
                <c:pt idx="194">
                  <c:v>D53</c:v>
                </c:pt>
                <c:pt idx="195">
                  <c:v>D54</c:v>
                </c:pt>
                <c:pt idx="196">
                  <c:v>D55</c:v>
                </c:pt>
                <c:pt idx="197">
                  <c:v>D56</c:v>
                </c:pt>
                <c:pt idx="198">
                  <c:v>D57</c:v>
                </c:pt>
                <c:pt idx="199">
                  <c:v>D58</c:v>
                </c:pt>
                <c:pt idx="200">
                  <c:v>D59</c:v>
                </c:pt>
                <c:pt idx="201">
                  <c:v>D60</c:v>
                </c:pt>
                <c:pt idx="202">
                  <c:v>D61</c:v>
                </c:pt>
                <c:pt idx="203">
                  <c:v>D62</c:v>
                </c:pt>
                <c:pt idx="204">
                  <c:v>D63</c:v>
                </c:pt>
                <c:pt idx="205">
                  <c:v>D64</c:v>
                </c:pt>
                <c:pt idx="206">
                  <c:v>D65</c:v>
                </c:pt>
                <c:pt idx="207">
                  <c:v>D66</c:v>
                </c:pt>
                <c:pt idx="208">
                  <c:v>D67</c:v>
                </c:pt>
                <c:pt idx="209">
                  <c:v>D68</c:v>
                </c:pt>
                <c:pt idx="210">
                  <c:v>D69</c:v>
                </c:pt>
                <c:pt idx="211">
                  <c:v>D70</c:v>
                </c:pt>
                <c:pt idx="212">
                  <c:v>D71</c:v>
                </c:pt>
                <c:pt idx="213">
                  <c:v>D72</c:v>
                </c:pt>
                <c:pt idx="214">
                  <c:v>D73</c:v>
                </c:pt>
                <c:pt idx="215">
                  <c:v>D74</c:v>
                </c:pt>
                <c:pt idx="216">
                  <c:v>D75</c:v>
                </c:pt>
                <c:pt idx="217">
                  <c:v>D76</c:v>
                </c:pt>
                <c:pt idx="218">
                  <c:v>D77</c:v>
                </c:pt>
                <c:pt idx="219">
                  <c:v>D78</c:v>
                </c:pt>
                <c:pt idx="220">
                  <c:v>D79</c:v>
                </c:pt>
                <c:pt idx="221">
                  <c:v>D80</c:v>
                </c:pt>
                <c:pt idx="222">
                  <c:v>D81</c:v>
                </c:pt>
                <c:pt idx="223">
                  <c:v>D82</c:v>
                </c:pt>
                <c:pt idx="224">
                  <c:v>D83</c:v>
                </c:pt>
                <c:pt idx="225">
                  <c:v>D84</c:v>
                </c:pt>
                <c:pt idx="226">
                  <c:v>D85</c:v>
                </c:pt>
                <c:pt idx="227">
                  <c:v>D86</c:v>
                </c:pt>
                <c:pt idx="228">
                  <c:v>D87</c:v>
                </c:pt>
                <c:pt idx="229">
                  <c:v>D88</c:v>
                </c:pt>
                <c:pt idx="230">
                  <c:v>D89</c:v>
                </c:pt>
                <c:pt idx="231">
                  <c:v>D90</c:v>
                </c:pt>
                <c:pt idx="232">
                  <c:v>D91</c:v>
                </c:pt>
                <c:pt idx="233">
                  <c:v>D92</c:v>
                </c:pt>
                <c:pt idx="234">
                  <c:v>D93</c:v>
                </c:pt>
                <c:pt idx="235">
                  <c:v>D94</c:v>
                </c:pt>
                <c:pt idx="236">
                  <c:v>D95</c:v>
                </c:pt>
                <c:pt idx="237">
                  <c:v>D96</c:v>
                </c:pt>
                <c:pt idx="238">
                  <c:v>D97</c:v>
                </c:pt>
                <c:pt idx="239">
                  <c:v>D98</c:v>
                </c:pt>
                <c:pt idx="240">
                  <c:v>D99</c:v>
                </c:pt>
                <c:pt idx="241">
                  <c:v>D100</c:v>
                </c:pt>
                <c:pt idx="242">
                  <c:v>D101</c:v>
                </c:pt>
                <c:pt idx="243">
                  <c:v>D102</c:v>
                </c:pt>
                <c:pt idx="244">
                  <c:v>D103</c:v>
                </c:pt>
                <c:pt idx="245">
                  <c:v>D104</c:v>
                </c:pt>
                <c:pt idx="246">
                  <c:v>D105</c:v>
                </c:pt>
                <c:pt idx="247">
                  <c:v>D106</c:v>
                </c:pt>
                <c:pt idx="248">
                  <c:v>D107</c:v>
                </c:pt>
                <c:pt idx="249">
                  <c:v>D108</c:v>
                </c:pt>
                <c:pt idx="250">
                  <c:v>D109</c:v>
                </c:pt>
                <c:pt idx="251">
                  <c:v>D110</c:v>
                </c:pt>
                <c:pt idx="252">
                  <c:v>D111</c:v>
                </c:pt>
                <c:pt idx="253">
                  <c:v>D112</c:v>
                </c:pt>
                <c:pt idx="254">
                  <c:v>D113</c:v>
                </c:pt>
                <c:pt idx="255">
                  <c:v>D114</c:v>
                </c:pt>
                <c:pt idx="256">
                  <c:v>D115</c:v>
                </c:pt>
                <c:pt idx="257">
                  <c:v>D116</c:v>
                </c:pt>
                <c:pt idx="258">
                  <c:v>D117</c:v>
                </c:pt>
                <c:pt idx="259">
                  <c:v>D118</c:v>
                </c:pt>
                <c:pt idx="260">
                  <c:v>D119</c:v>
                </c:pt>
                <c:pt idx="261">
                  <c:v>D120</c:v>
                </c:pt>
                <c:pt idx="262">
                  <c:v>D121</c:v>
                </c:pt>
                <c:pt idx="263">
                  <c:v>D122</c:v>
                </c:pt>
                <c:pt idx="264">
                  <c:v>D123</c:v>
                </c:pt>
                <c:pt idx="265">
                  <c:v>D124</c:v>
                </c:pt>
                <c:pt idx="266">
                  <c:v>D125</c:v>
                </c:pt>
                <c:pt idx="267">
                  <c:v>D126</c:v>
                </c:pt>
                <c:pt idx="268">
                  <c:v>D127</c:v>
                </c:pt>
                <c:pt idx="269">
                  <c:v>D128</c:v>
                </c:pt>
                <c:pt idx="270">
                  <c:v>D129</c:v>
                </c:pt>
                <c:pt idx="271">
                  <c:v>D130</c:v>
                </c:pt>
                <c:pt idx="272">
                  <c:v>D131</c:v>
                </c:pt>
                <c:pt idx="273">
                  <c:v>D132</c:v>
                </c:pt>
                <c:pt idx="274">
                  <c:v>D133</c:v>
                </c:pt>
                <c:pt idx="275">
                  <c:v>D134</c:v>
                </c:pt>
                <c:pt idx="276">
                  <c:v>D135</c:v>
                </c:pt>
                <c:pt idx="277">
                  <c:v>D136</c:v>
                </c:pt>
                <c:pt idx="278">
                  <c:v>D137</c:v>
                </c:pt>
                <c:pt idx="279">
                  <c:v>D138</c:v>
                </c:pt>
                <c:pt idx="280">
                  <c:v>D139</c:v>
                </c:pt>
                <c:pt idx="281">
                  <c:v>D140</c:v>
                </c:pt>
                <c:pt idx="282">
                  <c:v>D141</c:v>
                </c:pt>
                <c:pt idx="283">
                  <c:v>D142</c:v>
                </c:pt>
              </c:strCache>
            </c:strRef>
          </c:xVal>
          <c:yVal>
            <c:numRef>
              <c:f>Sheet1!$N$5:$N$296</c:f>
              <c:numCache>
                <c:formatCode>General</c:formatCode>
                <c:ptCount val="292"/>
                <c:pt idx="0">
                  <c:v>1000</c:v>
                </c:pt>
                <c:pt idx="1">
                  <c:v>999</c:v>
                </c:pt>
                <c:pt idx="2">
                  <c:v>999</c:v>
                </c:pt>
                <c:pt idx="3">
                  <c:v>999</c:v>
                </c:pt>
                <c:pt idx="4">
                  <c:v>999</c:v>
                </c:pt>
                <c:pt idx="5">
                  <c:v>999</c:v>
                </c:pt>
                <c:pt idx="6">
                  <c:v>999</c:v>
                </c:pt>
                <c:pt idx="7">
                  <c:v>999</c:v>
                </c:pt>
                <c:pt idx="8">
                  <c:v>999</c:v>
                </c:pt>
                <c:pt idx="9">
                  <c:v>999</c:v>
                </c:pt>
                <c:pt idx="10">
                  <c:v>999</c:v>
                </c:pt>
                <c:pt idx="11">
                  <c:v>999</c:v>
                </c:pt>
                <c:pt idx="12">
                  <c:v>998</c:v>
                </c:pt>
                <c:pt idx="13">
                  <c:v>998</c:v>
                </c:pt>
                <c:pt idx="14">
                  <c:v>998</c:v>
                </c:pt>
                <c:pt idx="15">
                  <c:v>998</c:v>
                </c:pt>
                <c:pt idx="16">
                  <c:v>998</c:v>
                </c:pt>
                <c:pt idx="17">
                  <c:v>997</c:v>
                </c:pt>
                <c:pt idx="18">
                  <c:v>997</c:v>
                </c:pt>
                <c:pt idx="19">
                  <c:v>997</c:v>
                </c:pt>
                <c:pt idx="20">
                  <c:v>996</c:v>
                </c:pt>
                <c:pt idx="21">
                  <c:v>996</c:v>
                </c:pt>
                <c:pt idx="22">
                  <c:v>996</c:v>
                </c:pt>
                <c:pt idx="23">
                  <c:v>995</c:v>
                </c:pt>
                <c:pt idx="24">
                  <c:v>995</c:v>
                </c:pt>
                <c:pt idx="25">
                  <c:v>994</c:v>
                </c:pt>
                <c:pt idx="26">
                  <c:v>993</c:v>
                </c:pt>
                <c:pt idx="27">
                  <c:v>993</c:v>
                </c:pt>
                <c:pt idx="28">
                  <c:v>992</c:v>
                </c:pt>
                <c:pt idx="29">
                  <c:v>991</c:v>
                </c:pt>
                <c:pt idx="30">
                  <c:v>990</c:v>
                </c:pt>
                <c:pt idx="31">
                  <c:v>989</c:v>
                </c:pt>
                <c:pt idx="32">
                  <c:v>988</c:v>
                </c:pt>
                <c:pt idx="33">
                  <c:v>987</c:v>
                </c:pt>
                <c:pt idx="34">
                  <c:v>986</c:v>
                </c:pt>
                <c:pt idx="35">
                  <c:v>984</c:v>
                </c:pt>
                <c:pt idx="36">
                  <c:v>982</c:v>
                </c:pt>
                <c:pt idx="37">
                  <c:v>981</c:v>
                </c:pt>
                <c:pt idx="38">
                  <c:v>979</c:v>
                </c:pt>
                <c:pt idx="39">
                  <c:v>977</c:v>
                </c:pt>
                <c:pt idx="40">
                  <c:v>974</c:v>
                </c:pt>
                <c:pt idx="41">
                  <c:v>972</c:v>
                </c:pt>
                <c:pt idx="42">
                  <c:v>969</c:v>
                </c:pt>
                <c:pt idx="43">
                  <c:v>966</c:v>
                </c:pt>
                <c:pt idx="44">
                  <c:v>962</c:v>
                </c:pt>
                <c:pt idx="45">
                  <c:v>959</c:v>
                </c:pt>
                <c:pt idx="46">
                  <c:v>954</c:v>
                </c:pt>
                <c:pt idx="47">
                  <c:v>950</c:v>
                </c:pt>
                <c:pt idx="48">
                  <c:v>945</c:v>
                </c:pt>
                <c:pt idx="49">
                  <c:v>940</c:v>
                </c:pt>
                <c:pt idx="50">
                  <c:v>935</c:v>
                </c:pt>
                <c:pt idx="51">
                  <c:v>928</c:v>
                </c:pt>
                <c:pt idx="52">
                  <c:v>922</c:v>
                </c:pt>
                <c:pt idx="53">
                  <c:v>915</c:v>
                </c:pt>
                <c:pt idx="54">
                  <c:v>907</c:v>
                </c:pt>
                <c:pt idx="55">
                  <c:v>899</c:v>
                </c:pt>
                <c:pt idx="56">
                  <c:v>891</c:v>
                </c:pt>
                <c:pt idx="57">
                  <c:v>881</c:v>
                </c:pt>
                <c:pt idx="58">
                  <c:v>872</c:v>
                </c:pt>
                <c:pt idx="59">
                  <c:v>861</c:v>
                </c:pt>
                <c:pt idx="60">
                  <c:v>850</c:v>
                </c:pt>
                <c:pt idx="61">
                  <c:v>839</c:v>
                </c:pt>
                <c:pt idx="62">
                  <c:v>827</c:v>
                </c:pt>
                <c:pt idx="63">
                  <c:v>814</c:v>
                </c:pt>
                <c:pt idx="64">
                  <c:v>801</c:v>
                </c:pt>
                <c:pt idx="65">
                  <c:v>787</c:v>
                </c:pt>
                <c:pt idx="66">
                  <c:v>773</c:v>
                </c:pt>
                <c:pt idx="67">
                  <c:v>759</c:v>
                </c:pt>
                <c:pt idx="68">
                  <c:v>745</c:v>
                </c:pt>
                <c:pt idx="69">
                  <c:v>730</c:v>
                </c:pt>
                <c:pt idx="70">
                  <c:v>715</c:v>
                </c:pt>
                <c:pt idx="71">
                  <c:v>700</c:v>
                </c:pt>
                <c:pt idx="72">
                  <c:v>685</c:v>
                </c:pt>
                <c:pt idx="73">
                  <c:v>670</c:v>
                </c:pt>
                <c:pt idx="74">
                  <c:v>655</c:v>
                </c:pt>
                <c:pt idx="75">
                  <c:v>641</c:v>
                </c:pt>
                <c:pt idx="76">
                  <c:v>627</c:v>
                </c:pt>
                <c:pt idx="77">
                  <c:v>613</c:v>
                </c:pt>
                <c:pt idx="78">
                  <c:v>599</c:v>
                </c:pt>
                <c:pt idx="79">
                  <c:v>586</c:v>
                </c:pt>
                <c:pt idx="80">
                  <c:v>573</c:v>
                </c:pt>
                <c:pt idx="81">
                  <c:v>561</c:v>
                </c:pt>
                <c:pt idx="82">
                  <c:v>550</c:v>
                </c:pt>
                <c:pt idx="83">
                  <c:v>539</c:v>
                </c:pt>
                <c:pt idx="84">
                  <c:v>528</c:v>
                </c:pt>
                <c:pt idx="85">
                  <c:v>519</c:v>
                </c:pt>
                <c:pt idx="86">
                  <c:v>509</c:v>
                </c:pt>
                <c:pt idx="87">
                  <c:v>501</c:v>
                </c:pt>
                <c:pt idx="88">
                  <c:v>493</c:v>
                </c:pt>
                <c:pt idx="89">
                  <c:v>485</c:v>
                </c:pt>
                <c:pt idx="90">
                  <c:v>478</c:v>
                </c:pt>
                <c:pt idx="91">
                  <c:v>472</c:v>
                </c:pt>
                <c:pt idx="92">
                  <c:v>465</c:v>
                </c:pt>
                <c:pt idx="93">
                  <c:v>460</c:v>
                </c:pt>
                <c:pt idx="94">
                  <c:v>455</c:v>
                </c:pt>
                <c:pt idx="95">
                  <c:v>450</c:v>
                </c:pt>
                <c:pt idx="96">
                  <c:v>446</c:v>
                </c:pt>
                <c:pt idx="97">
                  <c:v>441</c:v>
                </c:pt>
                <c:pt idx="98">
                  <c:v>438</c:v>
                </c:pt>
                <c:pt idx="99">
                  <c:v>434</c:v>
                </c:pt>
                <c:pt idx="100">
                  <c:v>431</c:v>
                </c:pt>
                <c:pt idx="101">
                  <c:v>428</c:v>
                </c:pt>
                <c:pt idx="102">
                  <c:v>426</c:v>
                </c:pt>
                <c:pt idx="103">
                  <c:v>423</c:v>
                </c:pt>
                <c:pt idx="104">
                  <c:v>421</c:v>
                </c:pt>
                <c:pt idx="105">
                  <c:v>419</c:v>
                </c:pt>
                <c:pt idx="106">
                  <c:v>418</c:v>
                </c:pt>
                <c:pt idx="107">
                  <c:v>416</c:v>
                </c:pt>
                <c:pt idx="108">
                  <c:v>414</c:v>
                </c:pt>
                <c:pt idx="109">
                  <c:v>413</c:v>
                </c:pt>
                <c:pt idx="110">
                  <c:v>412</c:v>
                </c:pt>
                <c:pt idx="111">
                  <c:v>411</c:v>
                </c:pt>
                <c:pt idx="112">
                  <c:v>410</c:v>
                </c:pt>
                <c:pt idx="113">
                  <c:v>409</c:v>
                </c:pt>
                <c:pt idx="114">
                  <c:v>408</c:v>
                </c:pt>
                <c:pt idx="115">
                  <c:v>407</c:v>
                </c:pt>
                <c:pt idx="116">
                  <c:v>407</c:v>
                </c:pt>
                <c:pt idx="117">
                  <c:v>406</c:v>
                </c:pt>
                <c:pt idx="118">
                  <c:v>405</c:v>
                </c:pt>
                <c:pt idx="119">
                  <c:v>405</c:v>
                </c:pt>
                <c:pt idx="120">
                  <c:v>404</c:v>
                </c:pt>
                <c:pt idx="121">
                  <c:v>404</c:v>
                </c:pt>
                <c:pt idx="122">
                  <c:v>404</c:v>
                </c:pt>
                <c:pt idx="123">
                  <c:v>403</c:v>
                </c:pt>
                <c:pt idx="124">
                  <c:v>403</c:v>
                </c:pt>
                <c:pt idx="125">
                  <c:v>403</c:v>
                </c:pt>
                <c:pt idx="126">
                  <c:v>402</c:v>
                </c:pt>
                <c:pt idx="127">
                  <c:v>402</c:v>
                </c:pt>
                <c:pt idx="128">
                  <c:v>402</c:v>
                </c:pt>
                <c:pt idx="129">
                  <c:v>402</c:v>
                </c:pt>
                <c:pt idx="130">
                  <c:v>402</c:v>
                </c:pt>
                <c:pt idx="131">
                  <c:v>401</c:v>
                </c:pt>
                <c:pt idx="132">
                  <c:v>401</c:v>
                </c:pt>
                <c:pt idx="133">
                  <c:v>401</c:v>
                </c:pt>
                <c:pt idx="134">
                  <c:v>401</c:v>
                </c:pt>
                <c:pt idx="135">
                  <c:v>401</c:v>
                </c:pt>
                <c:pt idx="136">
                  <c:v>401</c:v>
                </c:pt>
                <c:pt idx="137">
                  <c:v>401</c:v>
                </c:pt>
                <c:pt idx="138">
                  <c:v>401</c:v>
                </c:pt>
                <c:pt idx="139">
                  <c:v>401</c:v>
                </c:pt>
                <c:pt idx="140">
                  <c:v>401</c:v>
                </c:pt>
                <c:pt idx="141">
                  <c:v>401</c:v>
                </c:pt>
                <c:pt idx="142">
                  <c:v>401</c:v>
                </c:pt>
                <c:pt idx="143">
                  <c:v>401</c:v>
                </c:pt>
                <c:pt idx="144">
                  <c:v>401</c:v>
                </c:pt>
                <c:pt idx="145">
                  <c:v>401</c:v>
                </c:pt>
                <c:pt idx="146">
                  <c:v>401</c:v>
                </c:pt>
                <c:pt idx="147">
                  <c:v>401</c:v>
                </c:pt>
                <c:pt idx="148">
                  <c:v>401</c:v>
                </c:pt>
                <c:pt idx="149">
                  <c:v>401</c:v>
                </c:pt>
                <c:pt idx="150">
                  <c:v>401</c:v>
                </c:pt>
                <c:pt idx="151">
                  <c:v>401</c:v>
                </c:pt>
                <c:pt idx="152">
                  <c:v>401</c:v>
                </c:pt>
                <c:pt idx="153">
                  <c:v>402</c:v>
                </c:pt>
                <c:pt idx="154">
                  <c:v>402</c:v>
                </c:pt>
                <c:pt idx="155">
                  <c:v>402</c:v>
                </c:pt>
                <c:pt idx="156">
                  <c:v>402</c:v>
                </c:pt>
                <c:pt idx="157">
                  <c:v>402</c:v>
                </c:pt>
                <c:pt idx="158">
                  <c:v>403</c:v>
                </c:pt>
                <c:pt idx="159">
                  <c:v>403</c:v>
                </c:pt>
                <c:pt idx="160">
                  <c:v>403</c:v>
                </c:pt>
                <c:pt idx="161">
                  <c:v>404</c:v>
                </c:pt>
                <c:pt idx="162">
                  <c:v>404</c:v>
                </c:pt>
                <c:pt idx="163">
                  <c:v>404</c:v>
                </c:pt>
                <c:pt idx="164">
                  <c:v>405</c:v>
                </c:pt>
                <c:pt idx="165">
                  <c:v>405</c:v>
                </c:pt>
                <c:pt idx="166">
                  <c:v>406</c:v>
                </c:pt>
                <c:pt idx="167">
                  <c:v>407</c:v>
                </c:pt>
                <c:pt idx="168">
                  <c:v>407</c:v>
                </c:pt>
                <c:pt idx="169">
                  <c:v>408</c:v>
                </c:pt>
                <c:pt idx="170">
                  <c:v>409</c:v>
                </c:pt>
                <c:pt idx="171">
                  <c:v>410</c:v>
                </c:pt>
                <c:pt idx="172">
                  <c:v>411</c:v>
                </c:pt>
                <c:pt idx="173">
                  <c:v>412</c:v>
                </c:pt>
                <c:pt idx="174">
                  <c:v>413</c:v>
                </c:pt>
                <c:pt idx="175">
                  <c:v>414</c:v>
                </c:pt>
                <c:pt idx="176">
                  <c:v>416</c:v>
                </c:pt>
                <c:pt idx="177">
                  <c:v>418</c:v>
                </c:pt>
                <c:pt idx="178">
                  <c:v>419</c:v>
                </c:pt>
                <c:pt idx="179">
                  <c:v>421</c:v>
                </c:pt>
                <c:pt idx="180">
                  <c:v>423</c:v>
                </c:pt>
                <c:pt idx="181">
                  <c:v>426</c:v>
                </c:pt>
                <c:pt idx="182">
                  <c:v>428</c:v>
                </c:pt>
                <c:pt idx="183">
                  <c:v>431</c:v>
                </c:pt>
                <c:pt idx="184">
                  <c:v>434</c:v>
                </c:pt>
                <c:pt idx="185">
                  <c:v>438</c:v>
                </c:pt>
                <c:pt idx="186">
                  <c:v>441</c:v>
                </c:pt>
                <c:pt idx="187">
                  <c:v>446</c:v>
                </c:pt>
                <c:pt idx="188">
                  <c:v>450</c:v>
                </c:pt>
                <c:pt idx="189">
                  <c:v>455</c:v>
                </c:pt>
                <c:pt idx="190">
                  <c:v>460</c:v>
                </c:pt>
                <c:pt idx="191">
                  <c:v>465</c:v>
                </c:pt>
                <c:pt idx="192">
                  <c:v>472</c:v>
                </c:pt>
                <c:pt idx="193">
                  <c:v>478</c:v>
                </c:pt>
                <c:pt idx="194">
                  <c:v>485</c:v>
                </c:pt>
                <c:pt idx="195">
                  <c:v>493</c:v>
                </c:pt>
                <c:pt idx="196">
                  <c:v>501</c:v>
                </c:pt>
                <c:pt idx="197">
                  <c:v>509</c:v>
                </c:pt>
                <c:pt idx="198">
                  <c:v>519</c:v>
                </c:pt>
                <c:pt idx="199">
                  <c:v>528</c:v>
                </c:pt>
                <c:pt idx="200">
                  <c:v>539</c:v>
                </c:pt>
                <c:pt idx="201">
                  <c:v>550</c:v>
                </c:pt>
                <c:pt idx="202">
                  <c:v>561</c:v>
                </c:pt>
                <c:pt idx="203">
                  <c:v>573</c:v>
                </c:pt>
                <c:pt idx="204">
                  <c:v>586</c:v>
                </c:pt>
                <c:pt idx="205">
                  <c:v>599</c:v>
                </c:pt>
                <c:pt idx="206">
                  <c:v>613</c:v>
                </c:pt>
                <c:pt idx="207">
                  <c:v>627</c:v>
                </c:pt>
                <c:pt idx="208">
                  <c:v>641</c:v>
                </c:pt>
                <c:pt idx="209">
                  <c:v>655</c:v>
                </c:pt>
                <c:pt idx="210">
                  <c:v>670</c:v>
                </c:pt>
                <c:pt idx="211">
                  <c:v>685</c:v>
                </c:pt>
                <c:pt idx="212">
                  <c:v>700</c:v>
                </c:pt>
                <c:pt idx="213">
                  <c:v>715</c:v>
                </c:pt>
                <c:pt idx="214">
                  <c:v>730</c:v>
                </c:pt>
                <c:pt idx="215">
                  <c:v>745</c:v>
                </c:pt>
                <c:pt idx="216">
                  <c:v>759</c:v>
                </c:pt>
                <c:pt idx="217">
                  <c:v>773</c:v>
                </c:pt>
                <c:pt idx="218">
                  <c:v>787</c:v>
                </c:pt>
                <c:pt idx="219">
                  <c:v>801</c:v>
                </c:pt>
                <c:pt idx="220">
                  <c:v>814</c:v>
                </c:pt>
                <c:pt idx="221">
                  <c:v>827</c:v>
                </c:pt>
                <c:pt idx="222">
                  <c:v>839</c:v>
                </c:pt>
                <c:pt idx="223">
                  <c:v>850</c:v>
                </c:pt>
                <c:pt idx="224">
                  <c:v>861</c:v>
                </c:pt>
                <c:pt idx="225">
                  <c:v>872</c:v>
                </c:pt>
                <c:pt idx="226">
                  <c:v>881</c:v>
                </c:pt>
                <c:pt idx="227">
                  <c:v>891</c:v>
                </c:pt>
                <c:pt idx="228">
                  <c:v>899</c:v>
                </c:pt>
                <c:pt idx="229">
                  <c:v>907</c:v>
                </c:pt>
                <c:pt idx="230">
                  <c:v>915</c:v>
                </c:pt>
                <c:pt idx="231">
                  <c:v>922</c:v>
                </c:pt>
                <c:pt idx="232">
                  <c:v>928</c:v>
                </c:pt>
                <c:pt idx="233">
                  <c:v>935</c:v>
                </c:pt>
                <c:pt idx="234">
                  <c:v>940</c:v>
                </c:pt>
                <c:pt idx="235">
                  <c:v>945</c:v>
                </c:pt>
                <c:pt idx="236">
                  <c:v>950</c:v>
                </c:pt>
                <c:pt idx="237">
                  <c:v>954</c:v>
                </c:pt>
                <c:pt idx="238">
                  <c:v>959</c:v>
                </c:pt>
                <c:pt idx="239">
                  <c:v>962</c:v>
                </c:pt>
                <c:pt idx="240">
                  <c:v>966</c:v>
                </c:pt>
                <c:pt idx="241">
                  <c:v>969</c:v>
                </c:pt>
                <c:pt idx="242">
                  <c:v>972</c:v>
                </c:pt>
                <c:pt idx="243">
                  <c:v>974</c:v>
                </c:pt>
                <c:pt idx="244">
                  <c:v>977</c:v>
                </c:pt>
                <c:pt idx="245">
                  <c:v>979</c:v>
                </c:pt>
                <c:pt idx="246">
                  <c:v>981</c:v>
                </c:pt>
                <c:pt idx="247">
                  <c:v>982</c:v>
                </c:pt>
                <c:pt idx="248">
                  <c:v>984</c:v>
                </c:pt>
                <c:pt idx="249">
                  <c:v>986</c:v>
                </c:pt>
                <c:pt idx="250">
                  <c:v>987</c:v>
                </c:pt>
                <c:pt idx="251">
                  <c:v>988</c:v>
                </c:pt>
                <c:pt idx="252">
                  <c:v>989</c:v>
                </c:pt>
                <c:pt idx="253">
                  <c:v>990</c:v>
                </c:pt>
                <c:pt idx="254">
                  <c:v>991</c:v>
                </c:pt>
                <c:pt idx="255">
                  <c:v>992</c:v>
                </c:pt>
                <c:pt idx="256">
                  <c:v>993</c:v>
                </c:pt>
                <c:pt idx="257">
                  <c:v>993</c:v>
                </c:pt>
                <c:pt idx="258">
                  <c:v>994</c:v>
                </c:pt>
                <c:pt idx="259">
                  <c:v>995</c:v>
                </c:pt>
                <c:pt idx="260">
                  <c:v>995</c:v>
                </c:pt>
                <c:pt idx="261">
                  <c:v>996</c:v>
                </c:pt>
                <c:pt idx="262">
                  <c:v>996</c:v>
                </c:pt>
                <c:pt idx="263">
                  <c:v>996</c:v>
                </c:pt>
                <c:pt idx="264">
                  <c:v>997</c:v>
                </c:pt>
                <c:pt idx="265">
                  <c:v>997</c:v>
                </c:pt>
                <c:pt idx="266">
                  <c:v>997</c:v>
                </c:pt>
                <c:pt idx="267">
                  <c:v>998</c:v>
                </c:pt>
                <c:pt idx="268">
                  <c:v>998</c:v>
                </c:pt>
                <c:pt idx="269">
                  <c:v>998</c:v>
                </c:pt>
                <c:pt idx="270">
                  <c:v>998</c:v>
                </c:pt>
                <c:pt idx="271">
                  <c:v>998</c:v>
                </c:pt>
                <c:pt idx="272">
                  <c:v>999</c:v>
                </c:pt>
                <c:pt idx="273">
                  <c:v>999</c:v>
                </c:pt>
                <c:pt idx="274">
                  <c:v>999</c:v>
                </c:pt>
                <c:pt idx="275">
                  <c:v>999</c:v>
                </c:pt>
                <c:pt idx="276">
                  <c:v>999</c:v>
                </c:pt>
                <c:pt idx="277">
                  <c:v>999</c:v>
                </c:pt>
                <c:pt idx="278">
                  <c:v>999</c:v>
                </c:pt>
                <c:pt idx="279">
                  <c:v>999</c:v>
                </c:pt>
                <c:pt idx="280">
                  <c:v>999</c:v>
                </c:pt>
                <c:pt idx="281">
                  <c:v>999</c:v>
                </c:pt>
                <c:pt idx="282">
                  <c:v>999</c:v>
                </c:pt>
                <c:pt idx="283">
                  <c:v>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09072"/>
        <c:axId val="275509632"/>
      </c:scatterChart>
      <c:valAx>
        <c:axId val="275509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509632"/>
        <c:crosses val="autoZero"/>
        <c:crossBetween val="midCat"/>
      </c:valAx>
      <c:valAx>
        <c:axId val="27550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509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横向运动!$K$1:$K$64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横向运动!$L$1:$L$64</c:f>
              <c:numCache>
                <c:formatCode>General</c:formatCode>
                <c:ptCount val="64"/>
                <c:pt idx="0">
                  <c:v>2000</c:v>
                </c:pt>
                <c:pt idx="1">
                  <c:v>1999</c:v>
                </c:pt>
                <c:pt idx="2">
                  <c:v>1999</c:v>
                </c:pt>
                <c:pt idx="3">
                  <c:v>1998</c:v>
                </c:pt>
                <c:pt idx="4">
                  <c:v>1997</c:v>
                </c:pt>
                <c:pt idx="5">
                  <c:v>1995</c:v>
                </c:pt>
                <c:pt idx="6">
                  <c:v>1992</c:v>
                </c:pt>
                <c:pt idx="7">
                  <c:v>1987</c:v>
                </c:pt>
                <c:pt idx="8">
                  <c:v>1978</c:v>
                </c:pt>
                <c:pt idx="9">
                  <c:v>1965</c:v>
                </c:pt>
                <c:pt idx="10">
                  <c:v>1943</c:v>
                </c:pt>
                <c:pt idx="11">
                  <c:v>1909</c:v>
                </c:pt>
                <c:pt idx="12">
                  <c:v>1857</c:v>
                </c:pt>
                <c:pt idx="13">
                  <c:v>1781</c:v>
                </c:pt>
                <c:pt idx="14">
                  <c:v>1677</c:v>
                </c:pt>
                <c:pt idx="15">
                  <c:v>1547</c:v>
                </c:pt>
                <c:pt idx="16">
                  <c:v>1400</c:v>
                </c:pt>
                <c:pt idx="17">
                  <c:v>1253</c:v>
                </c:pt>
                <c:pt idx="18">
                  <c:v>1123</c:v>
                </c:pt>
                <c:pt idx="19">
                  <c:v>1019</c:v>
                </c:pt>
                <c:pt idx="20">
                  <c:v>943</c:v>
                </c:pt>
                <c:pt idx="21">
                  <c:v>891</c:v>
                </c:pt>
                <c:pt idx="22">
                  <c:v>857</c:v>
                </c:pt>
                <c:pt idx="23">
                  <c:v>835</c:v>
                </c:pt>
                <c:pt idx="24">
                  <c:v>822</c:v>
                </c:pt>
                <c:pt idx="25">
                  <c:v>813</c:v>
                </c:pt>
                <c:pt idx="26">
                  <c:v>808</c:v>
                </c:pt>
                <c:pt idx="27">
                  <c:v>805</c:v>
                </c:pt>
                <c:pt idx="28">
                  <c:v>803</c:v>
                </c:pt>
                <c:pt idx="29">
                  <c:v>802</c:v>
                </c:pt>
                <c:pt idx="30">
                  <c:v>801</c:v>
                </c:pt>
                <c:pt idx="31">
                  <c:v>801</c:v>
                </c:pt>
                <c:pt idx="32">
                  <c:v>801</c:v>
                </c:pt>
                <c:pt idx="33">
                  <c:v>801</c:v>
                </c:pt>
                <c:pt idx="34">
                  <c:v>802</c:v>
                </c:pt>
                <c:pt idx="35">
                  <c:v>803</c:v>
                </c:pt>
                <c:pt idx="36">
                  <c:v>805</c:v>
                </c:pt>
                <c:pt idx="37">
                  <c:v>808</c:v>
                </c:pt>
                <c:pt idx="38">
                  <c:v>813</c:v>
                </c:pt>
                <c:pt idx="39">
                  <c:v>822</c:v>
                </c:pt>
                <c:pt idx="40">
                  <c:v>835</c:v>
                </c:pt>
                <c:pt idx="41">
                  <c:v>857</c:v>
                </c:pt>
                <c:pt idx="42">
                  <c:v>891</c:v>
                </c:pt>
                <c:pt idx="43">
                  <c:v>943</c:v>
                </c:pt>
                <c:pt idx="44">
                  <c:v>1019</c:v>
                </c:pt>
                <c:pt idx="45">
                  <c:v>1123</c:v>
                </c:pt>
                <c:pt idx="46">
                  <c:v>1253</c:v>
                </c:pt>
                <c:pt idx="47">
                  <c:v>1400</c:v>
                </c:pt>
                <c:pt idx="48">
                  <c:v>1547</c:v>
                </c:pt>
                <c:pt idx="49">
                  <c:v>1677</c:v>
                </c:pt>
                <c:pt idx="50">
                  <c:v>1781</c:v>
                </c:pt>
                <c:pt idx="51">
                  <c:v>1857</c:v>
                </c:pt>
                <c:pt idx="52">
                  <c:v>1909</c:v>
                </c:pt>
                <c:pt idx="53">
                  <c:v>1943</c:v>
                </c:pt>
                <c:pt idx="54">
                  <c:v>1965</c:v>
                </c:pt>
                <c:pt idx="55">
                  <c:v>1978</c:v>
                </c:pt>
                <c:pt idx="56">
                  <c:v>1987</c:v>
                </c:pt>
                <c:pt idx="57">
                  <c:v>1992</c:v>
                </c:pt>
                <c:pt idx="58">
                  <c:v>1995</c:v>
                </c:pt>
                <c:pt idx="59">
                  <c:v>1997</c:v>
                </c:pt>
                <c:pt idx="60">
                  <c:v>1998</c:v>
                </c:pt>
                <c:pt idx="61">
                  <c:v>1999</c:v>
                </c:pt>
                <c:pt idx="62">
                  <c:v>1999</c:v>
                </c:pt>
                <c:pt idx="63">
                  <c:v>2000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11872"/>
        <c:axId val="275512432"/>
      </c:scatterChart>
      <c:valAx>
        <c:axId val="27551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512432"/>
        <c:crosses val="autoZero"/>
        <c:crossBetween val="midCat"/>
      </c:valAx>
      <c:valAx>
        <c:axId val="27551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51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横向运动!$F$1:$F$60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横向运动!$G$1:$G$60</c:f>
              <c:numCache>
                <c:formatCode>General</c:formatCode>
                <c:ptCount val="60"/>
                <c:pt idx="0">
                  <c:v>2000</c:v>
                </c:pt>
                <c:pt idx="1">
                  <c:v>1999</c:v>
                </c:pt>
                <c:pt idx="2">
                  <c:v>1999</c:v>
                </c:pt>
                <c:pt idx="3">
                  <c:v>1998</c:v>
                </c:pt>
                <c:pt idx="4">
                  <c:v>1997</c:v>
                </c:pt>
                <c:pt idx="5">
                  <c:v>1995</c:v>
                </c:pt>
                <c:pt idx="6">
                  <c:v>1991</c:v>
                </c:pt>
                <c:pt idx="7">
                  <c:v>1986</c:v>
                </c:pt>
                <c:pt idx="8">
                  <c:v>1977</c:v>
                </c:pt>
                <c:pt idx="9">
                  <c:v>1962</c:v>
                </c:pt>
                <c:pt idx="10">
                  <c:v>1939</c:v>
                </c:pt>
                <c:pt idx="11">
                  <c:v>1905</c:v>
                </c:pt>
                <c:pt idx="12">
                  <c:v>1854</c:v>
                </c:pt>
                <c:pt idx="13">
                  <c:v>1785</c:v>
                </c:pt>
                <c:pt idx="14">
                  <c:v>1698</c:v>
                </c:pt>
                <c:pt idx="15">
                  <c:v>1600</c:v>
                </c:pt>
                <c:pt idx="16">
                  <c:v>1502</c:v>
                </c:pt>
                <c:pt idx="17">
                  <c:v>1415</c:v>
                </c:pt>
                <c:pt idx="18">
                  <c:v>1346</c:v>
                </c:pt>
                <c:pt idx="19">
                  <c:v>1295</c:v>
                </c:pt>
                <c:pt idx="20">
                  <c:v>1261</c:v>
                </c:pt>
                <c:pt idx="21">
                  <c:v>1238</c:v>
                </c:pt>
                <c:pt idx="22">
                  <c:v>1223</c:v>
                </c:pt>
                <c:pt idx="23">
                  <c:v>1214</c:v>
                </c:pt>
                <c:pt idx="24">
                  <c:v>1209</c:v>
                </c:pt>
                <c:pt idx="25">
                  <c:v>1205</c:v>
                </c:pt>
                <c:pt idx="26">
                  <c:v>1203</c:v>
                </c:pt>
                <c:pt idx="27">
                  <c:v>1202</c:v>
                </c:pt>
                <c:pt idx="28">
                  <c:v>1201</c:v>
                </c:pt>
                <c:pt idx="29">
                  <c:v>1201</c:v>
                </c:pt>
                <c:pt idx="30">
                  <c:v>1201</c:v>
                </c:pt>
                <c:pt idx="31">
                  <c:v>1201</c:v>
                </c:pt>
                <c:pt idx="32">
                  <c:v>1202</c:v>
                </c:pt>
                <c:pt idx="33">
                  <c:v>1203</c:v>
                </c:pt>
                <c:pt idx="34">
                  <c:v>1205</c:v>
                </c:pt>
                <c:pt idx="35">
                  <c:v>1209</c:v>
                </c:pt>
                <c:pt idx="36">
                  <c:v>1214</c:v>
                </c:pt>
                <c:pt idx="37">
                  <c:v>1223</c:v>
                </c:pt>
                <c:pt idx="38">
                  <c:v>1238</c:v>
                </c:pt>
                <c:pt idx="39">
                  <c:v>1261</c:v>
                </c:pt>
                <c:pt idx="40">
                  <c:v>1295</c:v>
                </c:pt>
                <c:pt idx="41">
                  <c:v>1346</c:v>
                </c:pt>
                <c:pt idx="42">
                  <c:v>1415</c:v>
                </c:pt>
                <c:pt idx="43">
                  <c:v>1502</c:v>
                </c:pt>
                <c:pt idx="44">
                  <c:v>1600</c:v>
                </c:pt>
                <c:pt idx="45">
                  <c:v>1698</c:v>
                </c:pt>
                <c:pt idx="46">
                  <c:v>1785</c:v>
                </c:pt>
                <c:pt idx="47">
                  <c:v>1854</c:v>
                </c:pt>
                <c:pt idx="48">
                  <c:v>1905</c:v>
                </c:pt>
                <c:pt idx="49">
                  <c:v>1939</c:v>
                </c:pt>
                <c:pt idx="50">
                  <c:v>1962</c:v>
                </c:pt>
                <c:pt idx="51">
                  <c:v>1977</c:v>
                </c:pt>
                <c:pt idx="52">
                  <c:v>1986</c:v>
                </c:pt>
                <c:pt idx="53">
                  <c:v>1991</c:v>
                </c:pt>
                <c:pt idx="54">
                  <c:v>1995</c:v>
                </c:pt>
                <c:pt idx="55">
                  <c:v>1997</c:v>
                </c:pt>
                <c:pt idx="56">
                  <c:v>1998</c:v>
                </c:pt>
                <c:pt idx="57">
                  <c:v>1999</c:v>
                </c:pt>
                <c:pt idx="58">
                  <c:v>1999</c:v>
                </c:pt>
                <c:pt idx="59">
                  <c:v>2000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14672"/>
        <c:axId val="275515232"/>
      </c:scatterChart>
      <c:valAx>
        <c:axId val="27551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515232"/>
        <c:crosses val="autoZero"/>
        <c:crossBetween val="midCat"/>
      </c:valAx>
      <c:valAx>
        <c:axId val="27551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51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横向运动!$A$1:$A$56</c:f>
              <c:numCache>
                <c:formatCode>General</c:formatCode>
                <c:ptCount val="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</c:numCache>
            </c:numRef>
          </c:xVal>
          <c:yVal>
            <c:numRef>
              <c:f>横向运动!$B$1:$B$56</c:f>
              <c:numCache>
                <c:formatCode>General</c:formatCode>
                <c:ptCount val="56"/>
                <c:pt idx="0">
                  <c:v>2000</c:v>
                </c:pt>
                <c:pt idx="1">
                  <c:v>1999</c:v>
                </c:pt>
                <c:pt idx="2">
                  <c:v>1999</c:v>
                </c:pt>
                <c:pt idx="3">
                  <c:v>1998</c:v>
                </c:pt>
                <c:pt idx="4">
                  <c:v>1997</c:v>
                </c:pt>
                <c:pt idx="5">
                  <c:v>1996</c:v>
                </c:pt>
                <c:pt idx="6">
                  <c:v>1993</c:v>
                </c:pt>
                <c:pt idx="7">
                  <c:v>1988</c:v>
                </c:pt>
                <c:pt idx="8">
                  <c:v>1981</c:v>
                </c:pt>
                <c:pt idx="9">
                  <c:v>1970</c:v>
                </c:pt>
                <c:pt idx="10">
                  <c:v>1952</c:v>
                </c:pt>
                <c:pt idx="11">
                  <c:v>1927</c:v>
                </c:pt>
                <c:pt idx="12">
                  <c:v>1892</c:v>
                </c:pt>
                <c:pt idx="13">
                  <c:v>1849</c:v>
                </c:pt>
                <c:pt idx="14">
                  <c:v>1800</c:v>
                </c:pt>
                <c:pt idx="15">
                  <c:v>1751</c:v>
                </c:pt>
                <c:pt idx="16">
                  <c:v>1708</c:v>
                </c:pt>
                <c:pt idx="17">
                  <c:v>1673</c:v>
                </c:pt>
                <c:pt idx="18">
                  <c:v>1648</c:v>
                </c:pt>
                <c:pt idx="19">
                  <c:v>1630</c:v>
                </c:pt>
                <c:pt idx="20">
                  <c:v>1619</c:v>
                </c:pt>
                <c:pt idx="21">
                  <c:v>1612</c:v>
                </c:pt>
                <c:pt idx="22">
                  <c:v>1607</c:v>
                </c:pt>
                <c:pt idx="23">
                  <c:v>1604</c:v>
                </c:pt>
                <c:pt idx="24">
                  <c:v>1603</c:v>
                </c:pt>
                <c:pt idx="25">
                  <c:v>1602</c:v>
                </c:pt>
                <c:pt idx="26">
                  <c:v>1601</c:v>
                </c:pt>
                <c:pt idx="27">
                  <c:v>1601</c:v>
                </c:pt>
                <c:pt idx="28">
                  <c:v>1601</c:v>
                </c:pt>
                <c:pt idx="29">
                  <c:v>1601</c:v>
                </c:pt>
                <c:pt idx="30">
                  <c:v>1602</c:v>
                </c:pt>
                <c:pt idx="31">
                  <c:v>1603</c:v>
                </c:pt>
                <c:pt idx="32">
                  <c:v>1604</c:v>
                </c:pt>
                <c:pt idx="33">
                  <c:v>1607</c:v>
                </c:pt>
                <c:pt idx="34">
                  <c:v>1612</c:v>
                </c:pt>
                <c:pt idx="35">
                  <c:v>1619</c:v>
                </c:pt>
                <c:pt idx="36">
                  <c:v>1630</c:v>
                </c:pt>
                <c:pt idx="37">
                  <c:v>1648</c:v>
                </c:pt>
                <c:pt idx="38">
                  <c:v>1673</c:v>
                </c:pt>
                <c:pt idx="39">
                  <c:v>1708</c:v>
                </c:pt>
                <c:pt idx="40">
                  <c:v>1751</c:v>
                </c:pt>
                <c:pt idx="41">
                  <c:v>1800</c:v>
                </c:pt>
                <c:pt idx="42">
                  <c:v>1849</c:v>
                </c:pt>
                <c:pt idx="43">
                  <c:v>1892</c:v>
                </c:pt>
                <c:pt idx="44">
                  <c:v>1927</c:v>
                </c:pt>
                <c:pt idx="45">
                  <c:v>1952</c:v>
                </c:pt>
                <c:pt idx="46">
                  <c:v>1970</c:v>
                </c:pt>
                <c:pt idx="47">
                  <c:v>1981</c:v>
                </c:pt>
                <c:pt idx="48">
                  <c:v>1988</c:v>
                </c:pt>
                <c:pt idx="49">
                  <c:v>1993</c:v>
                </c:pt>
                <c:pt idx="50">
                  <c:v>1996</c:v>
                </c:pt>
                <c:pt idx="51">
                  <c:v>1997</c:v>
                </c:pt>
                <c:pt idx="52">
                  <c:v>1998</c:v>
                </c:pt>
                <c:pt idx="53">
                  <c:v>1999</c:v>
                </c:pt>
                <c:pt idx="54">
                  <c:v>1999</c:v>
                </c:pt>
                <c:pt idx="55">
                  <c:v>2000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95840"/>
        <c:axId val="276796400"/>
      </c:scatterChart>
      <c:valAx>
        <c:axId val="27679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6796400"/>
        <c:crosses val="autoZero"/>
        <c:crossBetween val="midCat"/>
      </c:valAx>
      <c:valAx>
        <c:axId val="27679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679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上下运动!$A$1:$A$48</c:f>
              <c:numCache>
                <c:formatCode>General</c:formatCode>
                <c:ptCount val="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</c:numCache>
            </c:numRef>
          </c:xVal>
          <c:yVal>
            <c:numRef>
              <c:f>上下运动!$B$1:$B$48</c:f>
              <c:numCache>
                <c:formatCode>General</c:formatCode>
                <c:ptCount val="48"/>
                <c:pt idx="0">
                  <c:v>1200</c:v>
                </c:pt>
                <c:pt idx="1">
                  <c:v>1199</c:v>
                </c:pt>
                <c:pt idx="2">
                  <c:v>1199</c:v>
                </c:pt>
                <c:pt idx="3">
                  <c:v>1198</c:v>
                </c:pt>
                <c:pt idx="4">
                  <c:v>1196</c:v>
                </c:pt>
                <c:pt idx="5">
                  <c:v>1194</c:v>
                </c:pt>
                <c:pt idx="6">
                  <c:v>1191</c:v>
                </c:pt>
                <c:pt idx="7">
                  <c:v>1185</c:v>
                </c:pt>
                <c:pt idx="8">
                  <c:v>1176</c:v>
                </c:pt>
                <c:pt idx="9">
                  <c:v>1164</c:v>
                </c:pt>
                <c:pt idx="10">
                  <c:v>1146</c:v>
                </c:pt>
                <c:pt idx="11">
                  <c:v>1124</c:v>
                </c:pt>
                <c:pt idx="12">
                  <c:v>1100</c:v>
                </c:pt>
                <c:pt idx="13">
                  <c:v>1076</c:v>
                </c:pt>
                <c:pt idx="14">
                  <c:v>1054</c:v>
                </c:pt>
                <c:pt idx="15">
                  <c:v>1036</c:v>
                </c:pt>
                <c:pt idx="16">
                  <c:v>1024</c:v>
                </c:pt>
                <c:pt idx="17">
                  <c:v>1015</c:v>
                </c:pt>
                <c:pt idx="18">
                  <c:v>1009</c:v>
                </c:pt>
                <c:pt idx="19">
                  <c:v>1006</c:v>
                </c:pt>
                <c:pt idx="20">
                  <c:v>1004</c:v>
                </c:pt>
                <c:pt idx="21">
                  <c:v>1002</c:v>
                </c:pt>
                <c:pt idx="22">
                  <c:v>1001</c:v>
                </c:pt>
                <c:pt idx="23">
                  <c:v>1001</c:v>
                </c:pt>
                <c:pt idx="24">
                  <c:v>1001</c:v>
                </c:pt>
                <c:pt idx="25">
                  <c:v>1001</c:v>
                </c:pt>
                <c:pt idx="26">
                  <c:v>1002</c:v>
                </c:pt>
                <c:pt idx="27">
                  <c:v>1004</c:v>
                </c:pt>
                <c:pt idx="28">
                  <c:v>1006</c:v>
                </c:pt>
                <c:pt idx="29">
                  <c:v>1009</c:v>
                </c:pt>
                <c:pt idx="30">
                  <c:v>1015</c:v>
                </c:pt>
                <c:pt idx="31">
                  <c:v>1024</c:v>
                </c:pt>
                <c:pt idx="32">
                  <c:v>1036</c:v>
                </c:pt>
                <c:pt idx="33">
                  <c:v>1054</c:v>
                </c:pt>
                <c:pt idx="34">
                  <c:v>1076</c:v>
                </c:pt>
                <c:pt idx="35">
                  <c:v>1100</c:v>
                </c:pt>
                <c:pt idx="36">
                  <c:v>1124</c:v>
                </c:pt>
                <c:pt idx="37">
                  <c:v>1146</c:v>
                </c:pt>
                <c:pt idx="38">
                  <c:v>1164</c:v>
                </c:pt>
                <c:pt idx="39">
                  <c:v>1176</c:v>
                </c:pt>
                <c:pt idx="40">
                  <c:v>1185</c:v>
                </c:pt>
                <c:pt idx="41">
                  <c:v>1191</c:v>
                </c:pt>
                <c:pt idx="42">
                  <c:v>1194</c:v>
                </c:pt>
                <c:pt idx="43">
                  <c:v>1196</c:v>
                </c:pt>
                <c:pt idx="44">
                  <c:v>1198</c:v>
                </c:pt>
                <c:pt idx="45">
                  <c:v>1199</c:v>
                </c:pt>
                <c:pt idx="46">
                  <c:v>1199</c:v>
                </c:pt>
                <c:pt idx="47">
                  <c:v>1200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98640"/>
        <c:axId val="276799200"/>
      </c:scatterChart>
      <c:valAx>
        <c:axId val="27679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6799200"/>
        <c:crosses val="autoZero"/>
        <c:crossBetween val="midCat"/>
      </c:valAx>
      <c:valAx>
        <c:axId val="27679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679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上下运动!$F$1:$F$68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上下运动!$G$1:$G$68</c:f>
              <c:numCache>
                <c:formatCode>General</c:formatCode>
                <c:ptCount val="68"/>
                <c:pt idx="0">
                  <c:v>1100</c:v>
                </c:pt>
                <c:pt idx="1">
                  <c:v>1099</c:v>
                </c:pt>
                <c:pt idx="2">
                  <c:v>1099</c:v>
                </c:pt>
                <c:pt idx="3">
                  <c:v>1099</c:v>
                </c:pt>
                <c:pt idx="4">
                  <c:v>1098</c:v>
                </c:pt>
                <c:pt idx="5">
                  <c:v>1097</c:v>
                </c:pt>
                <c:pt idx="6">
                  <c:v>1096</c:v>
                </c:pt>
                <c:pt idx="7">
                  <c:v>1094</c:v>
                </c:pt>
                <c:pt idx="8">
                  <c:v>1091</c:v>
                </c:pt>
                <c:pt idx="9">
                  <c:v>1086</c:v>
                </c:pt>
                <c:pt idx="10">
                  <c:v>1080</c:v>
                </c:pt>
                <c:pt idx="11">
                  <c:v>1071</c:v>
                </c:pt>
                <c:pt idx="12">
                  <c:v>1058</c:v>
                </c:pt>
                <c:pt idx="13">
                  <c:v>1041</c:v>
                </c:pt>
                <c:pt idx="14">
                  <c:v>1019</c:v>
                </c:pt>
                <c:pt idx="15">
                  <c:v>991</c:v>
                </c:pt>
                <c:pt idx="16">
                  <c:v>960</c:v>
                </c:pt>
                <c:pt idx="17">
                  <c:v>925</c:v>
                </c:pt>
                <c:pt idx="18">
                  <c:v>890</c:v>
                </c:pt>
                <c:pt idx="19">
                  <c:v>859</c:v>
                </c:pt>
                <c:pt idx="20">
                  <c:v>831</c:v>
                </c:pt>
                <c:pt idx="21">
                  <c:v>809</c:v>
                </c:pt>
                <c:pt idx="22">
                  <c:v>792</c:v>
                </c:pt>
                <c:pt idx="23">
                  <c:v>779</c:v>
                </c:pt>
                <c:pt idx="24">
                  <c:v>770</c:v>
                </c:pt>
                <c:pt idx="25">
                  <c:v>764</c:v>
                </c:pt>
                <c:pt idx="26">
                  <c:v>759</c:v>
                </c:pt>
                <c:pt idx="27">
                  <c:v>756</c:v>
                </c:pt>
                <c:pt idx="28">
                  <c:v>754</c:v>
                </c:pt>
                <c:pt idx="29">
                  <c:v>753</c:v>
                </c:pt>
                <c:pt idx="30">
                  <c:v>752</c:v>
                </c:pt>
                <c:pt idx="31">
                  <c:v>751</c:v>
                </c:pt>
                <c:pt idx="32">
                  <c:v>751</c:v>
                </c:pt>
                <c:pt idx="33">
                  <c:v>751</c:v>
                </c:pt>
                <c:pt idx="34">
                  <c:v>751</c:v>
                </c:pt>
                <c:pt idx="35">
                  <c:v>751</c:v>
                </c:pt>
                <c:pt idx="36">
                  <c:v>751</c:v>
                </c:pt>
                <c:pt idx="37">
                  <c:v>752</c:v>
                </c:pt>
                <c:pt idx="38">
                  <c:v>753</c:v>
                </c:pt>
                <c:pt idx="39">
                  <c:v>754</c:v>
                </c:pt>
                <c:pt idx="40">
                  <c:v>756</c:v>
                </c:pt>
                <c:pt idx="41">
                  <c:v>759</c:v>
                </c:pt>
                <c:pt idx="42">
                  <c:v>764</c:v>
                </c:pt>
                <c:pt idx="43">
                  <c:v>770</c:v>
                </c:pt>
                <c:pt idx="44">
                  <c:v>779</c:v>
                </c:pt>
                <c:pt idx="45">
                  <c:v>792</c:v>
                </c:pt>
                <c:pt idx="46">
                  <c:v>809</c:v>
                </c:pt>
                <c:pt idx="47">
                  <c:v>831</c:v>
                </c:pt>
                <c:pt idx="48">
                  <c:v>859</c:v>
                </c:pt>
                <c:pt idx="49">
                  <c:v>890</c:v>
                </c:pt>
                <c:pt idx="50">
                  <c:v>925</c:v>
                </c:pt>
                <c:pt idx="51">
                  <c:v>960</c:v>
                </c:pt>
                <c:pt idx="52">
                  <c:v>991</c:v>
                </c:pt>
                <c:pt idx="53">
                  <c:v>1019</c:v>
                </c:pt>
                <c:pt idx="54">
                  <c:v>1041</c:v>
                </c:pt>
                <c:pt idx="55">
                  <c:v>1058</c:v>
                </c:pt>
                <c:pt idx="56">
                  <c:v>1071</c:v>
                </c:pt>
                <c:pt idx="57">
                  <c:v>1080</c:v>
                </c:pt>
                <c:pt idx="58">
                  <c:v>1086</c:v>
                </c:pt>
                <c:pt idx="59">
                  <c:v>1091</c:v>
                </c:pt>
                <c:pt idx="60">
                  <c:v>1094</c:v>
                </c:pt>
                <c:pt idx="61">
                  <c:v>1096</c:v>
                </c:pt>
                <c:pt idx="62">
                  <c:v>1097</c:v>
                </c:pt>
                <c:pt idx="63">
                  <c:v>1098</c:v>
                </c:pt>
                <c:pt idx="64">
                  <c:v>1099</c:v>
                </c:pt>
                <c:pt idx="65">
                  <c:v>1099</c:v>
                </c:pt>
                <c:pt idx="66">
                  <c:v>1099</c:v>
                </c:pt>
                <c:pt idx="67">
                  <c:v>1100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02560"/>
        <c:axId val="276803120"/>
      </c:scatterChart>
      <c:valAx>
        <c:axId val="27680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6803120"/>
        <c:crosses val="autoZero"/>
        <c:crossBetween val="midCat"/>
      </c:valAx>
      <c:valAx>
        <c:axId val="2768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680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上下运动!$K$1:$K$96</c:f>
              <c:numCache>
                <c:formatCode>General</c:formatCode>
                <c:ptCount val="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</c:numCache>
            </c:numRef>
          </c:xVal>
          <c:yVal>
            <c:numRef>
              <c:f>上下运动!$L$1:$L$96</c:f>
              <c:numCache>
                <c:formatCode>General</c:formatCode>
                <c:ptCount val="96"/>
                <c:pt idx="0">
                  <c:v>1000</c:v>
                </c:pt>
                <c:pt idx="1">
                  <c:v>999</c:v>
                </c:pt>
                <c:pt idx="2">
                  <c:v>999</c:v>
                </c:pt>
                <c:pt idx="3">
                  <c:v>999</c:v>
                </c:pt>
                <c:pt idx="4">
                  <c:v>999</c:v>
                </c:pt>
                <c:pt idx="5">
                  <c:v>998</c:v>
                </c:pt>
                <c:pt idx="6">
                  <c:v>998</c:v>
                </c:pt>
                <c:pt idx="7">
                  <c:v>997</c:v>
                </c:pt>
                <c:pt idx="8">
                  <c:v>996</c:v>
                </c:pt>
                <c:pt idx="9">
                  <c:v>995</c:v>
                </c:pt>
                <c:pt idx="10">
                  <c:v>993</c:v>
                </c:pt>
                <c:pt idx="11">
                  <c:v>990</c:v>
                </c:pt>
                <c:pt idx="12">
                  <c:v>987</c:v>
                </c:pt>
                <c:pt idx="13">
                  <c:v>982</c:v>
                </c:pt>
                <c:pt idx="14">
                  <c:v>976</c:v>
                </c:pt>
                <c:pt idx="15">
                  <c:v>969</c:v>
                </c:pt>
                <c:pt idx="16">
                  <c:v>958</c:v>
                </c:pt>
                <c:pt idx="17">
                  <c:v>945</c:v>
                </c:pt>
                <c:pt idx="18">
                  <c:v>929</c:v>
                </c:pt>
                <c:pt idx="19">
                  <c:v>909</c:v>
                </c:pt>
                <c:pt idx="20">
                  <c:v>884</c:v>
                </c:pt>
                <c:pt idx="21">
                  <c:v>855</c:v>
                </c:pt>
                <c:pt idx="22">
                  <c:v>823</c:v>
                </c:pt>
                <c:pt idx="23">
                  <c:v>787</c:v>
                </c:pt>
                <c:pt idx="24">
                  <c:v>750</c:v>
                </c:pt>
                <c:pt idx="25">
                  <c:v>713</c:v>
                </c:pt>
                <c:pt idx="26">
                  <c:v>677</c:v>
                </c:pt>
                <c:pt idx="27">
                  <c:v>645</c:v>
                </c:pt>
                <c:pt idx="28">
                  <c:v>616</c:v>
                </c:pt>
                <c:pt idx="29">
                  <c:v>591</c:v>
                </c:pt>
                <c:pt idx="30">
                  <c:v>571</c:v>
                </c:pt>
                <c:pt idx="31">
                  <c:v>555</c:v>
                </c:pt>
                <c:pt idx="32">
                  <c:v>542</c:v>
                </c:pt>
                <c:pt idx="33">
                  <c:v>531</c:v>
                </c:pt>
                <c:pt idx="34">
                  <c:v>524</c:v>
                </c:pt>
                <c:pt idx="35">
                  <c:v>518</c:v>
                </c:pt>
                <c:pt idx="36">
                  <c:v>513</c:v>
                </c:pt>
                <c:pt idx="37">
                  <c:v>510</c:v>
                </c:pt>
                <c:pt idx="38">
                  <c:v>507</c:v>
                </c:pt>
                <c:pt idx="39">
                  <c:v>505</c:v>
                </c:pt>
                <c:pt idx="40">
                  <c:v>504</c:v>
                </c:pt>
                <c:pt idx="41">
                  <c:v>503</c:v>
                </c:pt>
                <c:pt idx="42">
                  <c:v>502</c:v>
                </c:pt>
                <c:pt idx="43">
                  <c:v>502</c:v>
                </c:pt>
                <c:pt idx="44">
                  <c:v>501</c:v>
                </c:pt>
                <c:pt idx="45">
                  <c:v>501</c:v>
                </c:pt>
                <c:pt idx="46">
                  <c:v>501</c:v>
                </c:pt>
                <c:pt idx="47">
                  <c:v>501</c:v>
                </c:pt>
                <c:pt idx="48">
                  <c:v>501</c:v>
                </c:pt>
                <c:pt idx="49">
                  <c:v>501</c:v>
                </c:pt>
                <c:pt idx="50">
                  <c:v>501</c:v>
                </c:pt>
                <c:pt idx="51">
                  <c:v>501</c:v>
                </c:pt>
                <c:pt idx="52">
                  <c:v>502</c:v>
                </c:pt>
                <c:pt idx="53">
                  <c:v>502</c:v>
                </c:pt>
                <c:pt idx="54">
                  <c:v>503</c:v>
                </c:pt>
                <c:pt idx="55">
                  <c:v>504</c:v>
                </c:pt>
                <c:pt idx="56">
                  <c:v>505</c:v>
                </c:pt>
                <c:pt idx="57">
                  <c:v>507</c:v>
                </c:pt>
                <c:pt idx="58">
                  <c:v>510</c:v>
                </c:pt>
                <c:pt idx="59">
                  <c:v>513</c:v>
                </c:pt>
                <c:pt idx="60">
                  <c:v>518</c:v>
                </c:pt>
                <c:pt idx="61">
                  <c:v>524</c:v>
                </c:pt>
                <c:pt idx="62">
                  <c:v>531</c:v>
                </c:pt>
                <c:pt idx="63">
                  <c:v>542</c:v>
                </c:pt>
                <c:pt idx="64">
                  <c:v>555</c:v>
                </c:pt>
                <c:pt idx="65">
                  <c:v>571</c:v>
                </c:pt>
                <c:pt idx="66">
                  <c:v>591</c:v>
                </c:pt>
                <c:pt idx="67">
                  <c:v>616</c:v>
                </c:pt>
                <c:pt idx="68">
                  <c:v>645</c:v>
                </c:pt>
                <c:pt idx="69">
                  <c:v>677</c:v>
                </c:pt>
                <c:pt idx="70">
                  <c:v>713</c:v>
                </c:pt>
                <c:pt idx="71">
                  <c:v>750</c:v>
                </c:pt>
                <c:pt idx="72">
                  <c:v>787</c:v>
                </c:pt>
                <c:pt idx="73">
                  <c:v>823</c:v>
                </c:pt>
                <c:pt idx="74">
                  <c:v>855</c:v>
                </c:pt>
                <c:pt idx="75">
                  <c:v>884</c:v>
                </c:pt>
                <c:pt idx="76">
                  <c:v>909</c:v>
                </c:pt>
                <c:pt idx="77">
                  <c:v>929</c:v>
                </c:pt>
                <c:pt idx="78">
                  <c:v>945</c:v>
                </c:pt>
                <c:pt idx="79">
                  <c:v>958</c:v>
                </c:pt>
                <c:pt idx="80">
                  <c:v>969</c:v>
                </c:pt>
                <c:pt idx="81">
                  <c:v>976</c:v>
                </c:pt>
                <c:pt idx="82">
                  <c:v>982</c:v>
                </c:pt>
                <c:pt idx="83">
                  <c:v>987</c:v>
                </c:pt>
                <c:pt idx="84">
                  <c:v>990</c:v>
                </c:pt>
                <c:pt idx="85">
                  <c:v>993</c:v>
                </c:pt>
                <c:pt idx="86">
                  <c:v>995</c:v>
                </c:pt>
                <c:pt idx="87">
                  <c:v>996</c:v>
                </c:pt>
                <c:pt idx="88">
                  <c:v>997</c:v>
                </c:pt>
                <c:pt idx="89">
                  <c:v>998</c:v>
                </c:pt>
                <c:pt idx="90">
                  <c:v>998</c:v>
                </c:pt>
                <c:pt idx="91">
                  <c:v>999</c:v>
                </c:pt>
                <c:pt idx="92">
                  <c:v>999</c:v>
                </c:pt>
                <c:pt idx="93">
                  <c:v>999</c:v>
                </c:pt>
                <c:pt idx="94">
                  <c:v>999</c:v>
                </c:pt>
                <c:pt idx="95">
                  <c:v>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05360"/>
        <c:axId val="276805920"/>
      </c:scatterChart>
      <c:valAx>
        <c:axId val="27680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6805920"/>
        <c:crosses val="autoZero"/>
        <c:crossBetween val="midCat"/>
      </c:valAx>
      <c:valAx>
        <c:axId val="27680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680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低速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注射器2!$A$1:$A$44</c:f>
              <c:numCache>
                <c:formatCode>General</c:formatCod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numCache>
            </c:numRef>
          </c:xVal>
          <c:yVal>
            <c:numRef>
              <c:f>注射器2!$B$1:$B$44</c:f>
              <c:numCache>
                <c:formatCode>General</c:formatCode>
                <c:ptCount val="44"/>
                <c:pt idx="0">
                  <c:v>1600</c:v>
                </c:pt>
                <c:pt idx="1">
                  <c:v>1599</c:v>
                </c:pt>
                <c:pt idx="2">
                  <c:v>1599</c:v>
                </c:pt>
                <c:pt idx="3">
                  <c:v>1598</c:v>
                </c:pt>
                <c:pt idx="4">
                  <c:v>1597</c:v>
                </c:pt>
                <c:pt idx="5">
                  <c:v>1595</c:v>
                </c:pt>
                <c:pt idx="6">
                  <c:v>1592</c:v>
                </c:pt>
                <c:pt idx="7">
                  <c:v>1588</c:v>
                </c:pt>
                <c:pt idx="8">
                  <c:v>1582</c:v>
                </c:pt>
                <c:pt idx="9">
                  <c:v>1573</c:v>
                </c:pt>
                <c:pt idx="10">
                  <c:v>1562</c:v>
                </c:pt>
                <c:pt idx="11">
                  <c:v>1550</c:v>
                </c:pt>
                <c:pt idx="12">
                  <c:v>1538</c:v>
                </c:pt>
                <c:pt idx="13">
                  <c:v>1527</c:v>
                </c:pt>
                <c:pt idx="14">
                  <c:v>1518</c:v>
                </c:pt>
                <c:pt idx="15">
                  <c:v>1512</c:v>
                </c:pt>
                <c:pt idx="16">
                  <c:v>1508</c:v>
                </c:pt>
                <c:pt idx="17">
                  <c:v>1505</c:v>
                </c:pt>
                <c:pt idx="18">
                  <c:v>1503</c:v>
                </c:pt>
                <c:pt idx="19">
                  <c:v>1502</c:v>
                </c:pt>
                <c:pt idx="20">
                  <c:v>1501</c:v>
                </c:pt>
                <c:pt idx="21">
                  <c:v>1501</c:v>
                </c:pt>
                <c:pt idx="22">
                  <c:v>1501</c:v>
                </c:pt>
                <c:pt idx="23">
                  <c:v>1501</c:v>
                </c:pt>
                <c:pt idx="24">
                  <c:v>1502</c:v>
                </c:pt>
                <c:pt idx="25">
                  <c:v>1503</c:v>
                </c:pt>
                <c:pt idx="26">
                  <c:v>1505</c:v>
                </c:pt>
                <c:pt idx="27">
                  <c:v>1508</c:v>
                </c:pt>
                <c:pt idx="28">
                  <c:v>1512</c:v>
                </c:pt>
                <c:pt idx="29">
                  <c:v>1518</c:v>
                </c:pt>
                <c:pt idx="30">
                  <c:v>1527</c:v>
                </c:pt>
                <c:pt idx="31">
                  <c:v>1538</c:v>
                </c:pt>
                <c:pt idx="32">
                  <c:v>1550</c:v>
                </c:pt>
                <c:pt idx="33">
                  <c:v>1562</c:v>
                </c:pt>
                <c:pt idx="34">
                  <c:v>1573</c:v>
                </c:pt>
                <c:pt idx="35">
                  <c:v>1582</c:v>
                </c:pt>
                <c:pt idx="36">
                  <c:v>1588</c:v>
                </c:pt>
                <c:pt idx="37">
                  <c:v>1592</c:v>
                </c:pt>
                <c:pt idx="38">
                  <c:v>1595</c:v>
                </c:pt>
                <c:pt idx="39">
                  <c:v>1597</c:v>
                </c:pt>
                <c:pt idx="40">
                  <c:v>1598</c:v>
                </c:pt>
                <c:pt idx="41">
                  <c:v>1599</c:v>
                </c:pt>
                <c:pt idx="42">
                  <c:v>1599</c:v>
                </c:pt>
                <c:pt idx="43">
                  <c:v>1600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08160"/>
        <c:axId val="276808720"/>
      </c:scatterChart>
      <c:valAx>
        <c:axId val="27680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6808720"/>
        <c:crosses val="autoZero"/>
        <c:crossBetween val="midCat"/>
      </c:valAx>
      <c:valAx>
        <c:axId val="276808720"/>
        <c:scaling>
          <c:orientation val="minMax"/>
          <c:max val="1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6808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中速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注射器2!$F$1:$F$60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注射器2!$G$1:$G$60</c:f>
              <c:numCache>
                <c:formatCode>General</c:formatCode>
                <c:ptCount val="60"/>
                <c:pt idx="0">
                  <c:v>1600</c:v>
                </c:pt>
                <c:pt idx="1">
                  <c:v>1599</c:v>
                </c:pt>
                <c:pt idx="2">
                  <c:v>1599</c:v>
                </c:pt>
                <c:pt idx="3">
                  <c:v>1599</c:v>
                </c:pt>
                <c:pt idx="4">
                  <c:v>1598</c:v>
                </c:pt>
                <c:pt idx="5">
                  <c:v>1596</c:v>
                </c:pt>
                <c:pt idx="6">
                  <c:v>1593</c:v>
                </c:pt>
                <c:pt idx="7">
                  <c:v>1589</c:v>
                </c:pt>
                <c:pt idx="8">
                  <c:v>1582</c:v>
                </c:pt>
                <c:pt idx="9">
                  <c:v>1572</c:v>
                </c:pt>
                <c:pt idx="10">
                  <c:v>1554</c:v>
                </c:pt>
                <c:pt idx="11">
                  <c:v>1528</c:v>
                </c:pt>
                <c:pt idx="12">
                  <c:v>1491</c:v>
                </c:pt>
                <c:pt idx="13">
                  <c:v>1439</c:v>
                </c:pt>
                <c:pt idx="14">
                  <c:v>1373</c:v>
                </c:pt>
                <c:pt idx="15">
                  <c:v>1300</c:v>
                </c:pt>
                <c:pt idx="16">
                  <c:v>1227</c:v>
                </c:pt>
                <c:pt idx="17">
                  <c:v>1161</c:v>
                </c:pt>
                <c:pt idx="18">
                  <c:v>1109</c:v>
                </c:pt>
                <c:pt idx="19">
                  <c:v>1072</c:v>
                </c:pt>
                <c:pt idx="20">
                  <c:v>1046</c:v>
                </c:pt>
                <c:pt idx="21">
                  <c:v>1028</c:v>
                </c:pt>
                <c:pt idx="22">
                  <c:v>1018</c:v>
                </c:pt>
                <c:pt idx="23">
                  <c:v>1011</c:v>
                </c:pt>
                <c:pt idx="24">
                  <c:v>1007</c:v>
                </c:pt>
                <c:pt idx="25">
                  <c:v>1004</c:v>
                </c:pt>
                <c:pt idx="26">
                  <c:v>1002</c:v>
                </c:pt>
                <c:pt idx="27">
                  <c:v>1001</c:v>
                </c:pt>
                <c:pt idx="28">
                  <c:v>1001</c:v>
                </c:pt>
                <c:pt idx="29">
                  <c:v>1001</c:v>
                </c:pt>
                <c:pt idx="30">
                  <c:v>1001</c:v>
                </c:pt>
                <c:pt idx="31">
                  <c:v>1001</c:v>
                </c:pt>
                <c:pt idx="32">
                  <c:v>1001</c:v>
                </c:pt>
                <c:pt idx="33">
                  <c:v>1002</c:v>
                </c:pt>
                <c:pt idx="34">
                  <c:v>1004</c:v>
                </c:pt>
                <c:pt idx="35">
                  <c:v>1007</c:v>
                </c:pt>
                <c:pt idx="36">
                  <c:v>1011</c:v>
                </c:pt>
                <c:pt idx="37">
                  <c:v>1018</c:v>
                </c:pt>
                <c:pt idx="38">
                  <c:v>1028</c:v>
                </c:pt>
                <c:pt idx="39">
                  <c:v>1046</c:v>
                </c:pt>
                <c:pt idx="40">
                  <c:v>1072</c:v>
                </c:pt>
                <c:pt idx="41">
                  <c:v>1109</c:v>
                </c:pt>
                <c:pt idx="42">
                  <c:v>1161</c:v>
                </c:pt>
                <c:pt idx="43">
                  <c:v>1227</c:v>
                </c:pt>
                <c:pt idx="44">
                  <c:v>1300</c:v>
                </c:pt>
                <c:pt idx="45">
                  <c:v>1373</c:v>
                </c:pt>
                <c:pt idx="46">
                  <c:v>1439</c:v>
                </c:pt>
                <c:pt idx="47">
                  <c:v>1491</c:v>
                </c:pt>
                <c:pt idx="48">
                  <c:v>1528</c:v>
                </c:pt>
                <c:pt idx="49">
                  <c:v>1554</c:v>
                </c:pt>
                <c:pt idx="50">
                  <c:v>1572</c:v>
                </c:pt>
                <c:pt idx="51">
                  <c:v>1582</c:v>
                </c:pt>
                <c:pt idx="52">
                  <c:v>1589</c:v>
                </c:pt>
                <c:pt idx="53">
                  <c:v>1593</c:v>
                </c:pt>
                <c:pt idx="54">
                  <c:v>1596</c:v>
                </c:pt>
                <c:pt idx="55">
                  <c:v>1598</c:v>
                </c:pt>
                <c:pt idx="56">
                  <c:v>1599</c:v>
                </c:pt>
                <c:pt idx="57">
                  <c:v>1599</c:v>
                </c:pt>
                <c:pt idx="58">
                  <c:v>1599</c:v>
                </c:pt>
                <c:pt idx="59">
                  <c:v>1600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06096"/>
        <c:axId val="277406656"/>
      </c:scatterChart>
      <c:valAx>
        <c:axId val="27740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406656"/>
        <c:crosses val="autoZero"/>
        <c:crossBetween val="midCat"/>
      </c:valAx>
      <c:valAx>
        <c:axId val="2774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406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高速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注射器2!$K$1:$K$64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注射器2!$L$1:$L$64</c:f>
              <c:numCache>
                <c:formatCode>General</c:formatCode>
                <c:ptCount val="64"/>
                <c:pt idx="0">
                  <c:v>1600</c:v>
                </c:pt>
                <c:pt idx="1">
                  <c:v>1599</c:v>
                </c:pt>
                <c:pt idx="2">
                  <c:v>1599</c:v>
                </c:pt>
                <c:pt idx="3">
                  <c:v>1598</c:v>
                </c:pt>
                <c:pt idx="4">
                  <c:v>1597</c:v>
                </c:pt>
                <c:pt idx="5">
                  <c:v>1596</c:v>
                </c:pt>
                <c:pt idx="6">
                  <c:v>1593</c:v>
                </c:pt>
                <c:pt idx="7">
                  <c:v>1588</c:v>
                </c:pt>
                <c:pt idx="8">
                  <c:v>1580</c:v>
                </c:pt>
                <c:pt idx="9">
                  <c:v>1568</c:v>
                </c:pt>
                <c:pt idx="10">
                  <c:v>1548</c:v>
                </c:pt>
                <c:pt idx="11">
                  <c:v>1517</c:v>
                </c:pt>
                <c:pt idx="12">
                  <c:v>1469</c:v>
                </c:pt>
                <c:pt idx="13">
                  <c:v>1399</c:v>
                </c:pt>
                <c:pt idx="14">
                  <c:v>1304</c:v>
                </c:pt>
                <c:pt idx="15">
                  <c:v>1185</c:v>
                </c:pt>
                <c:pt idx="16">
                  <c:v>1050</c:v>
                </c:pt>
                <c:pt idx="17">
                  <c:v>915</c:v>
                </c:pt>
                <c:pt idx="18">
                  <c:v>796</c:v>
                </c:pt>
                <c:pt idx="19">
                  <c:v>701</c:v>
                </c:pt>
                <c:pt idx="20">
                  <c:v>631</c:v>
                </c:pt>
                <c:pt idx="21">
                  <c:v>583</c:v>
                </c:pt>
                <c:pt idx="22">
                  <c:v>552</c:v>
                </c:pt>
                <c:pt idx="23">
                  <c:v>532</c:v>
                </c:pt>
                <c:pt idx="24">
                  <c:v>520</c:v>
                </c:pt>
                <c:pt idx="25">
                  <c:v>512</c:v>
                </c:pt>
                <c:pt idx="26">
                  <c:v>507</c:v>
                </c:pt>
                <c:pt idx="27">
                  <c:v>504</c:v>
                </c:pt>
                <c:pt idx="28">
                  <c:v>503</c:v>
                </c:pt>
                <c:pt idx="29">
                  <c:v>502</c:v>
                </c:pt>
                <c:pt idx="30">
                  <c:v>501</c:v>
                </c:pt>
                <c:pt idx="31">
                  <c:v>501</c:v>
                </c:pt>
                <c:pt idx="32">
                  <c:v>501</c:v>
                </c:pt>
                <c:pt idx="33">
                  <c:v>501</c:v>
                </c:pt>
                <c:pt idx="34">
                  <c:v>502</c:v>
                </c:pt>
                <c:pt idx="35">
                  <c:v>503</c:v>
                </c:pt>
                <c:pt idx="36">
                  <c:v>504</c:v>
                </c:pt>
                <c:pt idx="37">
                  <c:v>507</c:v>
                </c:pt>
                <c:pt idx="38">
                  <c:v>512</c:v>
                </c:pt>
                <c:pt idx="39">
                  <c:v>520</c:v>
                </c:pt>
                <c:pt idx="40">
                  <c:v>532</c:v>
                </c:pt>
                <c:pt idx="41">
                  <c:v>552</c:v>
                </c:pt>
                <c:pt idx="42">
                  <c:v>583</c:v>
                </c:pt>
                <c:pt idx="43">
                  <c:v>631</c:v>
                </c:pt>
                <c:pt idx="44">
                  <c:v>701</c:v>
                </c:pt>
                <c:pt idx="45">
                  <c:v>796</c:v>
                </c:pt>
                <c:pt idx="46">
                  <c:v>915</c:v>
                </c:pt>
                <c:pt idx="47">
                  <c:v>1050</c:v>
                </c:pt>
                <c:pt idx="48">
                  <c:v>1185</c:v>
                </c:pt>
                <c:pt idx="49">
                  <c:v>1304</c:v>
                </c:pt>
                <c:pt idx="50">
                  <c:v>1399</c:v>
                </c:pt>
                <c:pt idx="51">
                  <c:v>1469</c:v>
                </c:pt>
                <c:pt idx="52">
                  <c:v>1517</c:v>
                </c:pt>
                <c:pt idx="53">
                  <c:v>1548</c:v>
                </c:pt>
                <c:pt idx="54">
                  <c:v>1568</c:v>
                </c:pt>
                <c:pt idx="55">
                  <c:v>1580</c:v>
                </c:pt>
                <c:pt idx="56">
                  <c:v>1588</c:v>
                </c:pt>
                <c:pt idx="57">
                  <c:v>1593</c:v>
                </c:pt>
                <c:pt idx="58">
                  <c:v>1596</c:v>
                </c:pt>
                <c:pt idx="59">
                  <c:v>1597</c:v>
                </c:pt>
                <c:pt idx="60">
                  <c:v>1598</c:v>
                </c:pt>
                <c:pt idx="61">
                  <c:v>1599</c:v>
                </c:pt>
                <c:pt idx="62">
                  <c:v>1599</c:v>
                </c:pt>
                <c:pt idx="63">
                  <c:v>1600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08896"/>
        <c:axId val="277409456"/>
      </c:scatterChart>
      <c:valAx>
        <c:axId val="277408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409456"/>
        <c:crosses val="autoZero"/>
        <c:crossBetween val="midCat"/>
      </c:valAx>
      <c:valAx>
        <c:axId val="27740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40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低速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注射器2!$A$1:$A$44</c:f>
              <c:numCache>
                <c:formatCode>General</c:formatCod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numCache>
            </c:numRef>
          </c:xVal>
          <c:yVal>
            <c:numRef>
              <c:f>注射器2!$B$1:$B$44</c:f>
              <c:numCache>
                <c:formatCode>General</c:formatCode>
                <c:ptCount val="44"/>
                <c:pt idx="0">
                  <c:v>1600</c:v>
                </c:pt>
                <c:pt idx="1">
                  <c:v>1599</c:v>
                </c:pt>
                <c:pt idx="2">
                  <c:v>1599</c:v>
                </c:pt>
                <c:pt idx="3">
                  <c:v>1598</c:v>
                </c:pt>
                <c:pt idx="4">
                  <c:v>1597</c:v>
                </c:pt>
                <c:pt idx="5">
                  <c:v>1595</c:v>
                </c:pt>
                <c:pt idx="6">
                  <c:v>1592</c:v>
                </c:pt>
                <c:pt idx="7">
                  <c:v>1588</c:v>
                </c:pt>
                <c:pt idx="8">
                  <c:v>1582</c:v>
                </c:pt>
                <c:pt idx="9">
                  <c:v>1573</c:v>
                </c:pt>
                <c:pt idx="10">
                  <c:v>1562</c:v>
                </c:pt>
                <c:pt idx="11">
                  <c:v>1550</c:v>
                </c:pt>
                <c:pt idx="12">
                  <c:v>1538</c:v>
                </c:pt>
                <c:pt idx="13">
                  <c:v>1527</c:v>
                </c:pt>
                <c:pt idx="14">
                  <c:v>1518</c:v>
                </c:pt>
                <c:pt idx="15">
                  <c:v>1512</c:v>
                </c:pt>
                <c:pt idx="16">
                  <c:v>1508</c:v>
                </c:pt>
                <c:pt idx="17">
                  <c:v>1505</c:v>
                </c:pt>
                <c:pt idx="18">
                  <c:v>1503</c:v>
                </c:pt>
                <c:pt idx="19">
                  <c:v>1502</c:v>
                </c:pt>
                <c:pt idx="20">
                  <c:v>1501</c:v>
                </c:pt>
                <c:pt idx="21">
                  <c:v>1501</c:v>
                </c:pt>
                <c:pt idx="22">
                  <c:v>1501</c:v>
                </c:pt>
                <c:pt idx="23">
                  <c:v>1501</c:v>
                </c:pt>
                <c:pt idx="24">
                  <c:v>1502</c:v>
                </c:pt>
                <c:pt idx="25">
                  <c:v>1503</c:v>
                </c:pt>
                <c:pt idx="26">
                  <c:v>1505</c:v>
                </c:pt>
                <c:pt idx="27">
                  <c:v>1508</c:v>
                </c:pt>
                <c:pt idx="28">
                  <c:v>1512</c:v>
                </c:pt>
                <c:pt idx="29">
                  <c:v>1518</c:v>
                </c:pt>
                <c:pt idx="30">
                  <c:v>1527</c:v>
                </c:pt>
                <c:pt idx="31">
                  <c:v>1538</c:v>
                </c:pt>
                <c:pt idx="32">
                  <c:v>1550</c:v>
                </c:pt>
                <c:pt idx="33">
                  <c:v>1562</c:v>
                </c:pt>
                <c:pt idx="34">
                  <c:v>1573</c:v>
                </c:pt>
                <c:pt idx="35">
                  <c:v>1582</c:v>
                </c:pt>
                <c:pt idx="36">
                  <c:v>1588</c:v>
                </c:pt>
                <c:pt idx="37">
                  <c:v>1592</c:v>
                </c:pt>
                <c:pt idx="38">
                  <c:v>1595</c:v>
                </c:pt>
                <c:pt idx="39">
                  <c:v>1597</c:v>
                </c:pt>
                <c:pt idx="40">
                  <c:v>1598</c:v>
                </c:pt>
                <c:pt idx="41">
                  <c:v>1599</c:v>
                </c:pt>
                <c:pt idx="42">
                  <c:v>1599</c:v>
                </c:pt>
                <c:pt idx="43">
                  <c:v>1600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11696"/>
        <c:axId val="277412256"/>
      </c:scatterChart>
      <c:valAx>
        <c:axId val="27741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412256"/>
        <c:crosses val="autoZero"/>
        <c:crossBetween val="midCat"/>
      </c:valAx>
      <c:valAx>
        <c:axId val="277412256"/>
        <c:scaling>
          <c:orientation val="minMax"/>
          <c:max val="1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411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中速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注射器2!$F$1:$F$60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注射器2!$G$1:$G$60</c:f>
              <c:numCache>
                <c:formatCode>General</c:formatCode>
                <c:ptCount val="60"/>
                <c:pt idx="0">
                  <c:v>1600</c:v>
                </c:pt>
                <c:pt idx="1">
                  <c:v>1599</c:v>
                </c:pt>
                <c:pt idx="2">
                  <c:v>1599</c:v>
                </c:pt>
                <c:pt idx="3">
                  <c:v>1599</c:v>
                </c:pt>
                <c:pt idx="4">
                  <c:v>1598</c:v>
                </c:pt>
                <c:pt idx="5">
                  <c:v>1596</c:v>
                </c:pt>
                <c:pt idx="6">
                  <c:v>1593</c:v>
                </c:pt>
                <c:pt idx="7">
                  <c:v>1589</c:v>
                </c:pt>
                <c:pt idx="8">
                  <c:v>1582</c:v>
                </c:pt>
                <c:pt idx="9">
                  <c:v>1572</c:v>
                </c:pt>
                <c:pt idx="10">
                  <c:v>1554</c:v>
                </c:pt>
                <c:pt idx="11">
                  <c:v>1528</c:v>
                </c:pt>
                <c:pt idx="12">
                  <c:v>1491</c:v>
                </c:pt>
                <c:pt idx="13">
                  <c:v>1439</c:v>
                </c:pt>
                <c:pt idx="14">
                  <c:v>1373</c:v>
                </c:pt>
                <c:pt idx="15">
                  <c:v>1300</c:v>
                </c:pt>
                <c:pt idx="16">
                  <c:v>1227</c:v>
                </c:pt>
                <c:pt idx="17">
                  <c:v>1161</c:v>
                </c:pt>
                <c:pt idx="18">
                  <c:v>1109</c:v>
                </c:pt>
                <c:pt idx="19">
                  <c:v>1072</c:v>
                </c:pt>
                <c:pt idx="20">
                  <c:v>1046</c:v>
                </c:pt>
                <c:pt idx="21">
                  <c:v>1028</c:v>
                </c:pt>
                <c:pt idx="22">
                  <c:v>1018</c:v>
                </c:pt>
                <c:pt idx="23">
                  <c:v>1011</c:v>
                </c:pt>
                <c:pt idx="24">
                  <c:v>1007</c:v>
                </c:pt>
                <c:pt idx="25">
                  <c:v>1004</c:v>
                </c:pt>
                <c:pt idx="26">
                  <c:v>1002</c:v>
                </c:pt>
                <c:pt idx="27">
                  <c:v>1001</c:v>
                </c:pt>
                <c:pt idx="28">
                  <c:v>1001</c:v>
                </c:pt>
                <c:pt idx="29">
                  <c:v>1001</c:v>
                </c:pt>
                <c:pt idx="30">
                  <c:v>1001</c:v>
                </c:pt>
                <c:pt idx="31">
                  <c:v>1001</c:v>
                </c:pt>
                <c:pt idx="32">
                  <c:v>1001</c:v>
                </c:pt>
                <c:pt idx="33">
                  <c:v>1002</c:v>
                </c:pt>
                <c:pt idx="34">
                  <c:v>1004</c:v>
                </c:pt>
                <c:pt idx="35">
                  <c:v>1007</c:v>
                </c:pt>
                <c:pt idx="36">
                  <c:v>1011</c:v>
                </c:pt>
                <c:pt idx="37">
                  <c:v>1018</c:v>
                </c:pt>
                <c:pt idx="38">
                  <c:v>1028</c:v>
                </c:pt>
                <c:pt idx="39">
                  <c:v>1046</c:v>
                </c:pt>
                <c:pt idx="40">
                  <c:v>1072</c:v>
                </c:pt>
                <c:pt idx="41">
                  <c:v>1109</c:v>
                </c:pt>
                <c:pt idx="42">
                  <c:v>1161</c:v>
                </c:pt>
                <c:pt idx="43">
                  <c:v>1227</c:v>
                </c:pt>
                <c:pt idx="44">
                  <c:v>1300</c:v>
                </c:pt>
                <c:pt idx="45">
                  <c:v>1373</c:v>
                </c:pt>
                <c:pt idx="46">
                  <c:v>1439</c:v>
                </c:pt>
                <c:pt idx="47">
                  <c:v>1491</c:v>
                </c:pt>
                <c:pt idx="48">
                  <c:v>1528</c:v>
                </c:pt>
                <c:pt idx="49">
                  <c:v>1554</c:v>
                </c:pt>
                <c:pt idx="50">
                  <c:v>1572</c:v>
                </c:pt>
                <c:pt idx="51">
                  <c:v>1582</c:v>
                </c:pt>
                <c:pt idx="52">
                  <c:v>1589</c:v>
                </c:pt>
                <c:pt idx="53">
                  <c:v>1593</c:v>
                </c:pt>
                <c:pt idx="54">
                  <c:v>1596</c:v>
                </c:pt>
                <c:pt idx="55">
                  <c:v>1598</c:v>
                </c:pt>
                <c:pt idx="56">
                  <c:v>1599</c:v>
                </c:pt>
                <c:pt idx="57">
                  <c:v>1599</c:v>
                </c:pt>
                <c:pt idx="58">
                  <c:v>1599</c:v>
                </c:pt>
                <c:pt idx="59">
                  <c:v>1600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14496"/>
        <c:axId val="277415056"/>
      </c:scatterChart>
      <c:valAx>
        <c:axId val="27741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415056"/>
        <c:crosses val="autoZero"/>
        <c:crossBetween val="midCat"/>
      </c:valAx>
      <c:valAx>
        <c:axId val="27741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41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高速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注射器2!$K$1:$K$64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注射器2!$L$1:$L$64</c:f>
              <c:numCache>
                <c:formatCode>General</c:formatCode>
                <c:ptCount val="64"/>
                <c:pt idx="0">
                  <c:v>1600</c:v>
                </c:pt>
                <c:pt idx="1">
                  <c:v>1599</c:v>
                </c:pt>
                <c:pt idx="2">
                  <c:v>1599</c:v>
                </c:pt>
                <c:pt idx="3">
                  <c:v>1598</c:v>
                </c:pt>
                <c:pt idx="4">
                  <c:v>1597</c:v>
                </c:pt>
                <c:pt idx="5">
                  <c:v>1596</c:v>
                </c:pt>
                <c:pt idx="6">
                  <c:v>1593</c:v>
                </c:pt>
                <c:pt idx="7">
                  <c:v>1588</c:v>
                </c:pt>
                <c:pt idx="8">
                  <c:v>1580</c:v>
                </c:pt>
                <c:pt idx="9">
                  <c:v>1568</c:v>
                </c:pt>
                <c:pt idx="10">
                  <c:v>1548</c:v>
                </c:pt>
                <c:pt idx="11">
                  <c:v>1517</c:v>
                </c:pt>
                <c:pt idx="12">
                  <c:v>1469</c:v>
                </c:pt>
                <c:pt idx="13">
                  <c:v>1399</c:v>
                </c:pt>
                <c:pt idx="14">
                  <c:v>1304</c:v>
                </c:pt>
                <c:pt idx="15">
                  <c:v>1185</c:v>
                </c:pt>
                <c:pt idx="16">
                  <c:v>1050</c:v>
                </c:pt>
                <c:pt idx="17">
                  <c:v>915</c:v>
                </c:pt>
                <c:pt idx="18">
                  <c:v>796</c:v>
                </c:pt>
                <c:pt idx="19">
                  <c:v>701</c:v>
                </c:pt>
                <c:pt idx="20">
                  <c:v>631</c:v>
                </c:pt>
                <c:pt idx="21">
                  <c:v>583</c:v>
                </c:pt>
                <c:pt idx="22">
                  <c:v>552</c:v>
                </c:pt>
                <c:pt idx="23">
                  <c:v>532</c:v>
                </c:pt>
                <c:pt idx="24">
                  <c:v>520</c:v>
                </c:pt>
                <c:pt idx="25">
                  <c:v>512</c:v>
                </c:pt>
                <c:pt idx="26">
                  <c:v>507</c:v>
                </c:pt>
                <c:pt idx="27">
                  <c:v>504</c:v>
                </c:pt>
                <c:pt idx="28">
                  <c:v>503</c:v>
                </c:pt>
                <c:pt idx="29">
                  <c:v>502</c:v>
                </c:pt>
                <c:pt idx="30">
                  <c:v>501</c:v>
                </c:pt>
                <c:pt idx="31">
                  <c:v>501</c:v>
                </c:pt>
                <c:pt idx="32">
                  <c:v>501</c:v>
                </c:pt>
                <c:pt idx="33">
                  <c:v>501</c:v>
                </c:pt>
                <c:pt idx="34">
                  <c:v>502</c:v>
                </c:pt>
                <c:pt idx="35">
                  <c:v>503</c:v>
                </c:pt>
                <c:pt idx="36">
                  <c:v>504</c:v>
                </c:pt>
                <c:pt idx="37">
                  <c:v>507</c:v>
                </c:pt>
                <c:pt idx="38">
                  <c:v>512</c:v>
                </c:pt>
                <c:pt idx="39">
                  <c:v>520</c:v>
                </c:pt>
                <c:pt idx="40">
                  <c:v>532</c:v>
                </c:pt>
                <c:pt idx="41">
                  <c:v>552</c:v>
                </c:pt>
                <c:pt idx="42">
                  <c:v>583</c:v>
                </c:pt>
                <c:pt idx="43">
                  <c:v>631</c:v>
                </c:pt>
                <c:pt idx="44">
                  <c:v>701</c:v>
                </c:pt>
                <c:pt idx="45">
                  <c:v>796</c:v>
                </c:pt>
                <c:pt idx="46">
                  <c:v>915</c:v>
                </c:pt>
                <c:pt idx="47">
                  <c:v>1050</c:v>
                </c:pt>
                <c:pt idx="48">
                  <c:v>1185</c:v>
                </c:pt>
                <c:pt idx="49">
                  <c:v>1304</c:v>
                </c:pt>
                <c:pt idx="50">
                  <c:v>1399</c:v>
                </c:pt>
                <c:pt idx="51">
                  <c:v>1469</c:v>
                </c:pt>
                <c:pt idx="52">
                  <c:v>1517</c:v>
                </c:pt>
                <c:pt idx="53">
                  <c:v>1548</c:v>
                </c:pt>
                <c:pt idx="54">
                  <c:v>1568</c:v>
                </c:pt>
                <c:pt idx="55">
                  <c:v>1580</c:v>
                </c:pt>
                <c:pt idx="56">
                  <c:v>1588</c:v>
                </c:pt>
                <c:pt idx="57">
                  <c:v>1593</c:v>
                </c:pt>
                <c:pt idx="58">
                  <c:v>1596</c:v>
                </c:pt>
                <c:pt idx="59">
                  <c:v>1597</c:v>
                </c:pt>
                <c:pt idx="60">
                  <c:v>1598</c:v>
                </c:pt>
                <c:pt idx="61">
                  <c:v>1599</c:v>
                </c:pt>
                <c:pt idx="62">
                  <c:v>1599</c:v>
                </c:pt>
                <c:pt idx="63">
                  <c:v>1600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17296"/>
        <c:axId val="277417856"/>
      </c:scatterChart>
      <c:valAx>
        <c:axId val="277417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417856"/>
        <c:crosses val="autoZero"/>
        <c:crossBetween val="midCat"/>
      </c:valAx>
      <c:valAx>
        <c:axId val="2774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4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蠕动泵1!$A$1:$A$56</c:f>
              <c:numCache>
                <c:formatCode>General</c:formatCode>
                <c:ptCount val="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</c:numCache>
            </c:numRef>
          </c:xVal>
          <c:yVal>
            <c:numRef>
              <c:f>蠕动泵1!$B$1:$B$56</c:f>
              <c:numCache>
                <c:formatCode>General</c:formatCode>
                <c:ptCount val="56"/>
                <c:pt idx="0">
                  <c:v>3500</c:v>
                </c:pt>
                <c:pt idx="1">
                  <c:v>3499</c:v>
                </c:pt>
                <c:pt idx="2">
                  <c:v>3499</c:v>
                </c:pt>
                <c:pt idx="3">
                  <c:v>3498</c:v>
                </c:pt>
                <c:pt idx="4">
                  <c:v>3497</c:v>
                </c:pt>
                <c:pt idx="5">
                  <c:v>3495</c:v>
                </c:pt>
                <c:pt idx="6">
                  <c:v>3491</c:v>
                </c:pt>
                <c:pt idx="7">
                  <c:v>3485</c:v>
                </c:pt>
                <c:pt idx="8">
                  <c:v>3476</c:v>
                </c:pt>
                <c:pt idx="9">
                  <c:v>3462</c:v>
                </c:pt>
                <c:pt idx="10">
                  <c:v>3440</c:v>
                </c:pt>
                <c:pt idx="11">
                  <c:v>3409</c:v>
                </c:pt>
                <c:pt idx="12">
                  <c:v>3366</c:v>
                </c:pt>
                <c:pt idx="13">
                  <c:v>3311</c:v>
                </c:pt>
                <c:pt idx="14">
                  <c:v>3250</c:v>
                </c:pt>
                <c:pt idx="15">
                  <c:v>3189</c:v>
                </c:pt>
                <c:pt idx="16">
                  <c:v>3134</c:v>
                </c:pt>
                <c:pt idx="17">
                  <c:v>3091</c:v>
                </c:pt>
                <c:pt idx="18">
                  <c:v>3060</c:v>
                </c:pt>
                <c:pt idx="19">
                  <c:v>3038</c:v>
                </c:pt>
                <c:pt idx="20">
                  <c:v>3024</c:v>
                </c:pt>
                <c:pt idx="21">
                  <c:v>3015</c:v>
                </c:pt>
                <c:pt idx="22">
                  <c:v>3009</c:v>
                </c:pt>
                <c:pt idx="23">
                  <c:v>3005</c:v>
                </c:pt>
                <c:pt idx="24">
                  <c:v>3003</c:v>
                </c:pt>
                <c:pt idx="25">
                  <c:v>3002</c:v>
                </c:pt>
                <c:pt idx="26">
                  <c:v>3001</c:v>
                </c:pt>
                <c:pt idx="27">
                  <c:v>3001</c:v>
                </c:pt>
                <c:pt idx="28">
                  <c:v>3001</c:v>
                </c:pt>
                <c:pt idx="29">
                  <c:v>3001</c:v>
                </c:pt>
                <c:pt idx="30">
                  <c:v>3002</c:v>
                </c:pt>
                <c:pt idx="31">
                  <c:v>3003</c:v>
                </c:pt>
                <c:pt idx="32">
                  <c:v>3005</c:v>
                </c:pt>
                <c:pt idx="33">
                  <c:v>3009</c:v>
                </c:pt>
                <c:pt idx="34">
                  <c:v>3015</c:v>
                </c:pt>
                <c:pt idx="35">
                  <c:v>3024</c:v>
                </c:pt>
                <c:pt idx="36">
                  <c:v>3038</c:v>
                </c:pt>
                <c:pt idx="37">
                  <c:v>3060</c:v>
                </c:pt>
                <c:pt idx="38">
                  <c:v>3091</c:v>
                </c:pt>
                <c:pt idx="39">
                  <c:v>3134</c:v>
                </c:pt>
                <c:pt idx="40">
                  <c:v>3189</c:v>
                </c:pt>
                <c:pt idx="41">
                  <c:v>3250</c:v>
                </c:pt>
                <c:pt idx="42">
                  <c:v>3311</c:v>
                </c:pt>
                <c:pt idx="43">
                  <c:v>3366</c:v>
                </c:pt>
                <c:pt idx="44">
                  <c:v>3409</c:v>
                </c:pt>
                <c:pt idx="45">
                  <c:v>3440</c:v>
                </c:pt>
                <c:pt idx="46">
                  <c:v>3462</c:v>
                </c:pt>
                <c:pt idx="47">
                  <c:v>3476</c:v>
                </c:pt>
                <c:pt idx="48">
                  <c:v>3485</c:v>
                </c:pt>
                <c:pt idx="49">
                  <c:v>3491</c:v>
                </c:pt>
                <c:pt idx="50">
                  <c:v>3495</c:v>
                </c:pt>
                <c:pt idx="51">
                  <c:v>3497</c:v>
                </c:pt>
                <c:pt idx="52">
                  <c:v>3498</c:v>
                </c:pt>
                <c:pt idx="53">
                  <c:v>3499</c:v>
                </c:pt>
                <c:pt idx="54">
                  <c:v>3499</c:v>
                </c:pt>
                <c:pt idx="55">
                  <c:v>3500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20096"/>
        <c:axId val="277420656"/>
      </c:scatterChart>
      <c:valAx>
        <c:axId val="27742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420656"/>
        <c:crosses val="autoZero"/>
        <c:crossBetween val="midCat"/>
      </c:valAx>
      <c:valAx>
        <c:axId val="2774206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420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蠕动泵1!$F$1:$F$68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蠕动泵1!$G$1:$G$68</c:f>
              <c:numCache>
                <c:formatCode>General</c:formatCode>
                <c:ptCount val="68"/>
                <c:pt idx="0">
                  <c:v>3500</c:v>
                </c:pt>
                <c:pt idx="1">
                  <c:v>3499</c:v>
                </c:pt>
                <c:pt idx="2">
                  <c:v>3499</c:v>
                </c:pt>
                <c:pt idx="3">
                  <c:v>3499</c:v>
                </c:pt>
                <c:pt idx="4">
                  <c:v>3498</c:v>
                </c:pt>
                <c:pt idx="5">
                  <c:v>3496</c:v>
                </c:pt>
                <c:pt idx="6">
                  <c:v>3494</c:v>
                </c:pt>
                <c:pt idx="7">
                  <c:v>3490</c:v>
                </c:pt>
                <c:pt idx="8">
                  <c:v>3484</c:v>
                </c:pt>
                <c:pt idx="9">
                  <c:v>3473</c:v>
                </c:pt>
                <c:pt idx="10">
                  <c:v>3456</c:v>
                </c:pt>
                <c:pt idx="11">
                  <c:v>3429</c:v>
                </c:pt>
                <c:pt idx="12">
                  <c:v>3386</c:v>
                </c:pt>
                <c:pt idx="13">
                  <c:v>3321</c:v>
                </c:pt>
                <c:pt idx="14">
                  <c:v>3226</c:v>
                </c:pt>
                <c:pt idx="15">
                  <c:v>3097</c:v>
                </c:pt>
                <c:pt idx="16">
                  <c:v>2934</c:v>
                </c:pt>
                <c:pt idx="17">
                  <c:v>2750</c:v>
                </c:pt>
                <c:pt idx="18">
                  <c:v>2566</c:v>
                </c:pt>
                <c:pt idx="19">
                  <c:v>2403</c:v>
                </c:pt>
                <c:pt idx="20">
                  <c:v>2274</c:v>
                </c:pt>
                <c:pt idx="21">
                  <c:v>2179</c:v>
                </c:pt>
                <c:pt idx="22">
                  <c:v>2114</c:v>
                </c:pt>
                <c:pt idx="23">
                  <c:v>2071</c:v>
                </c:pt>
                <c:pt idx="24">
                  <c:v>2044</c:v>
                </c:pt>
                <c:pt idx="25">
                  <c:v>2027</c:v>
                </c:pt>
                <c:pt idx="26">
                  <c:v>2016</c:v>
                </c:pt>
                <c:pt idx="27">
                  <c:v>2010</c:v>
                </c:pt>
                <c:pt idx="28">
                  <c:v>2006</c:v>
                </c:pt>
                <c:pt idx="29">
                  <c:v>2004</c:v>
                </c:pt>
                <c:pt idx="30">
                  <c:v>2002</c:v>
                </c:pt>
                <c:pt idx="31">
                  <c:v>2001</c:v>
                </c:pt>
                <c:pt idx="32">
                  <c:v>2001</c:v>
                </c:pt>
                <c:pt idx="33">
                  <c:v>2001</c:v>
                </c:pt>
                <c:pt idx="34">
                  <c:v>2001</c:v>
                </c:pt>
                <c:pt idx="35">
                  <c:v>2001</c:v>
                </c:pt>
                <c:pt idx="36">
                  <c:v>2001</c:v>
                </c:pt>
                <c:pt idx="37">
                  <c:v>2002</c:v>
                </c:pt>
                <c:pt idx="38">
                  <c:v>2004</c:v>
                </c:pt>
                <c:pt idx="39">
                  <c:v>2006</c:v>
                </c:pt>
                <c:pt idx="40">
                  <c:v>2010</c:v>
                </c:pt>
                <c:pt idx="41">
                  <c:v>2016</c:v>
                </c:pt>
                <c:pt idx="42">
                  <c:v>2027</c:v>
                </c:pt>
                <c:pt idx="43">
                  <c:v>2044</c:v>
                </c:pt>
                <c:pt idx="44">
                  <c:v>2071</c:v>
                </c:pt>
                <c:pt idx="45">
                  <c:v>2114</c:v>
                </c:pt>
                <c:pt idx="46">
                  <c:v>2179</c:v>
                </c:pt>
                <c:pt idx="47">
                  <c:v>2274</c:v>
                </c:pt>
                <c:pt idx="48">
                  <c:v>2403</c:v>
                </c:pt>
                <c:pt idx="49">
                  <c:v>2566</c:v>
                </c:pt>
                <c:pt idx="50">
                  <c:v>2750</c:v>
                </c:pt>
                <c:pt idx="51">
                  <c:v>2934</c:v>
                </c:pt>
                <c:pt idx="52">
                  <c:v>3097</c:v>
                </c:pt>
                <c:pt idx="53">
                  <c:v>3226</c:v>
                </c:pt>
                <c:pt idx="54">
                  <c:v>3321</c:v>
                </c:pt>
                <c:pt idx="55">
                  <c:v>3386</c:v>
                </c:pt>
                <c:pt idx="56">
                  <c:v>3429</c:v>
                </c:pt>
                <c:pt idx="57">
                  <c:v>3456</c:v>
                </c:pt>
                <c:pt idx="58">
                  <c:v>3473</c:v>
                </c:pt>
                <c:pt idx="59">
                  <c:v>3484</c:v>
                </c:pt>
                <c:pt idx="60">
                  <c:v>3490</c:v>
                </c:pt>
                <c:pt idx="61">
                  <c:v>3494</c:v>
                </c:pt>
                <c:pt idx="62">
                  <c:v>3496</c:v>
                </c:pt>
                <c:pt idx="63">
                  <c:v>3498</c:v>
                </c:pt>
                <c:pt idx="64">
                  <c:v>3499</c:v>
                </c:pt>
                <c:pt idx="65">
                  <c:v>3499</c:v>
                </c:pt>
                <c:pt idx="66">
                  <c:v>3499</c:v>
                </c:pt>
                <c:pt idx="67">
                  <c:v>3500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612576"/>
        <c:axId val="277613136"/>
      </c:scatterChart>
      <c:valAx>
        <c:axId val="27761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613136"/>
        <c:crosses val="autoZero"/>
        <c:crossBetween val="midCat"/>
      </c:valAx>
      <c:valAx>
        <c:axId val="27761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61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蠕动泵1!$K$1:$K$72</c:f>
              <c:numCache>
                <c:formatCode>General</c:formatCode>
                <c:ptCount val="7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</c:numCache>
            </c:numRef>
          </c:xVal>
          <c:yVal>
            <c:numRef>
              <c:f>蠕动泵1!$L$1:$L$72</c:f>
              <c:numCache>
                <c:formatCode>General</c:formatCode>
                <c:ptCount val="72"/>
                <c:pt idx="0">
                  <c:v>3500</c:v>
                </c:pt>
                <c:pt idx="1">
                  <c:v>3499</c:v>
                </c:pt>
                <c:pt idx="2">
                  <c:v>3499</c:v>
                </c:pt>
                <c:pt idx="3">
                  <c:v>3499</c:v>
                </c:pt>
                <c:pt idx="4">
                  <c:v>3498</c:v>
                </c:pt>
                <c:pt idx="5">
                  <c:v>3496</c:v>
                </c:pt>
                <c:pt idx="6">
                  <c:v>3494</c:v>
                </c:pt>
                <c:pt idx="7">
                  <c:v>3490</c:v>
                </c:pt>
                <c:pt idx="8">
                  <c:v>3483</c:v>
                </c:pt>
                <c:pt idx="9">
                  <c:v>3473</c:v>
                </c:pt>
                <c:pt idx="10">
                  <c:v>3455</c:v>
                </c:pt>
                <c:pt idx="11">
                  <c:v>3427</c:v>
                </c:pt>
                <c:pt idx="12">
                  <c:v>3381</c:v>
                </c:pt>
                <c:pt idx="13">
                  <c:v>3310</c:v>
                </c:pt>
                <c:pt idx="14">
                  <c:v>3202</c:v>
                </c:pt>
                <c:pt idx="15">
                  <c:v>3044</c:v>
                </c:pt>
                <c:pt idx="16">
                  <c:v>2828</c:v>
                </c:pt>
                <c:pt idx="17">
                  <c:v>2556</c:v>
                </c:pt>
                <c:pt idx="18">
                  <c:v>2250</c:v>
                </c:pt>
                <c:pt idx="19">
                  <c:v>1944</c:v>
                </c:pt>
                <c:pt idx="20">
                  <c:v>1672</c:v>
                </c:pt>
                <c:pt idx="21">
                  <c:v>1456</c:v>
                </c:pt>
                <c:pt idx="22">
                  <c:v>1298</c:v>
                </c:pt>
                <c:pt idx="23">
                  <c:v>1190</c:v>
                </c:pt>
                <c:pt idx="24">
                  <c:v>1119</c:v>
                </c:pt>
                <c:pt idx="25">
                  <c:v>1073</c:v>
                </c:pt>
                <c:pt idx="26">
                  <c:v>1045</c:v>
                </c:pt>
                <c:pt idx="27">
                  <c:v>1027</c:v>
                </c:pt>
                <c:pt idx="28">
                  <c:v>1017</c:v>
                </c:pt>
                <c:pt idx="29">
                  <c:v>1010</c:v>
                </c:pt>
                <c:pt idx="30">
                  <c:v>1006</c:v>
                </c:pt>
                <c:pt idx="31">
                  <c:v>1004</c:v>
                </c:pt>
                <c:pt idx="32">
                  <c:v>1002</c:v>
                </c:pt>
                <c:pt idx="33">
                  <c:v>1001</c:v>
                </c:pt>
                <c:pt idx="34">
                  <c:v>1001</c:v>
                </c:pt>
                <c:pt idx="35">
                  <c:v>1001</c:v>
                </c:pt>
                <c:pt idx="36">
                  <c:v>1001</c:v>
                </c:pt>
                <c:pt idx="37">
                  <c:v>1001</c:v>
                </c:pt>
                <c:pt idx="38">
                  <c:v>1001</c:v>
                </c:pt>
                <c:pt idx="39">
                  <c:v>1002</c:v>
                </c:pt>
                <c:pt idx="40">
                  <c:v>1004</c:v>
                </c:pt>
                <c:pt idx="41">
                  <c:v>1006</c:v>
                </c:pt>
                <c:pt idx="42">
                  <c:v>1010</c:v>
                </c:pt>
                <c:pt idx="43">
                  <c:v>1017</c:v>
                </c:pt>
                <c:pt idx="44">
                  <c:v>1027</c:v>
                </c:pt>
                <c:pt idx="45">
                  <c:v>1045</c:v>
                </c:pt>
                <c:pt idx="46">
                  <c:v>1073</c:v>
                </c:pt>
                <c:pt idx="47">
                  <c:v>1119</c:v>
                </c:pt>
                <c:pt idx="48">
                  <c:v>1190</c:v>
                </c:pt>
                <c:pt idx="49">
                  <c:v>1298</c:v>
                </c:pt>
                <c:pt idx="50">
                  <c:v>1456</c:v>
                </c:pt>
                <c:pt idx="51">
                  <c:v>1672</c:v>
                </c:pt>
                <c:pt idx="52">
                  <c:v>1944</c:v>
                </c:pt>
                <c:pt idx="53">
                  <c:v>2250</c:v>
                </c:pt>
                <c:pt idx="54">
                  <c:v>2556</c:v>
                </c:pt>
                <c:pt idx="55">
                  <c:v>2828</c:v>
                </c:pt>
                <c:pt idx="56">
                  <c:v>3044</c:v>
                </c:pt>
                <c:pt idx="57">
                  <c:v>3202</c:v>
                </c:pt>
                <c:pt idx="58">
                  <c:v>3310</c:v>
                </c:pt>
                <c:pt idx="59">
                  <c:v>3381</c:v>
                </c:pt>
                <c:pt idx="60">
                  <c:v>3427</c:v>
                </c:pt>
                <c:pt idx="61">
                  <c:v>3455</c:v>
                </c:pt>
                <c:pt idx="62">
                  <c:v>3473</c:v>
                </c:pt>
                <c:pt idx="63">
                  <c:v>3483</c:v>
                </c:pt>
                <c:pt idx="64">
                  <c:v>3490</c:v>
                </c:pt>
                <c:pt idx="65">
                  <c:v>3494</c:v>
                </c:pt>
                <c:pt idx="66">
                  <c:v>3496</c:v>
                </c:pt>
                <c:pt idx="67">
                  <c:v>3498</c:v>
                </c:pt>
                <c:pt idx="68">
                  <c:v>3499</c:v>
                </c:pt>
                <c:pt idx="69">
                  <c:v>3499</c:v>
                </c:pt>
                <c:pt idx="70">
                  <c:v>3499</c:v>
                </c:pt>
                <c:pt idx="71">
                  <c:v>3500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615376"/>
        <c:axId val="277615936"/>
      </c:scatterChart>
      <c:valAx>
        <c:axId val="27761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615936"/>
        <c:crosses val="autoZero"/>
        <c:crossBetween val="midCat"/>
      </c:valAx>
      <c:valAx>
        <c:axId val="27761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761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30</xdr:row>
      <xdr:rowOff>133350</xdr:rowOff>
    </xdr:from>
    <xdr:to>
      <xdr:col>26</xdr:col>
      <xdr:colOff>57150</xdr:colOff>
      <xdr:row>45</xdr:row>
      <xdr:rowOff>161925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180975</xdr:colOff>
      <xdr:row>15</xdr:row>
      <xdr:rowOff>123825</xdr:rowOff>
    </xdr:from>
    <xdr:to>
      <xdr:col>26</xdr:col>
      <xdr:colOff>57150</xdr:colOff>
      <xdr:row>30</xdr:row>
      <xdr:rowOff>95250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180975</xdr:colOff>
      <xdr:row>0</xdr:row>
      <xdr:rowOff>57150</xdr:rowOff>
    </xdr:from>
    <xdr:to>
      <xdr:col>26</xdr:col>
      <xdr:colOff>47625</xdr:colOff>
      <xdr:row>15</xdr:row>
      <xdr:rowOff>85725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27</xdr:row>
          <xdr:rowOff>38100</xdr:rowOff>
        </xdr:from>
        <xdr:to>
          <xdr:col>2</xdr:col>
          <xdr:colOff>2057400</xdr:colOff>
          <xdr:row>30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修改参数后按键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</xdr:row>
      <xdr:rowOff>38100</xdr:rowOff>
    </xdr:from>
    <xdr:to>
      <xdr:col>22</xdr:col>
      <xdr:colOff>85725</xdr:colOff>
      <xdr:row>18</xdr:row>
      <xdr:rowOff>66675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342900</xdr:colOff>
      <xdr:row>19</xdr:row>
      <xdr:rowOff>85725</xdr:rowOff>
    </xdr:from>
    <xdr:to>
      <xdr:col>22</xdr:col>
      <xdr:colOff>114300</xdr:colOff>
      <xdr:row>34</xdr:row>
      <xdr:rowOff>85725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85725</xdr:colOff>
      <xdr:row>7</xdr:row>
      <xdr:rowOff>38100</xdr:rowOff>
    </xdr:from>
    <xdr:to>
      <xdr:col>15</xdr:col>
      <xdr:colOff>19050</xdr:colOff>
      <xdr:row>22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7</xdr:row>
      <xdr:rowOff>19050</xdr:rowOff>
    </xdr:from>
    <xdr:to>
      <xdr:col>10</xdr:col>
      <xdr:colOff>0</xdr:colOff>
      <xdr:row>22</xdr:row>
      <xdr:rowOff>47625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7</xdr:row>
      <xdr:rowOff>9525</xdr:rowOff>
    </xdr:from>
    <xdr:to>
      <xdr:col>5</xdr:col>
      <xdr:colOff>14287</xdr:colOff>
      <xdr:row>22</xdr:row>
      <xdr:rowOff>38100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</xdr:colOff>
      <xdr:row>5</xdr:row>
      <xdr:rowOff>123825</xdr:rowOff>
    </xdr:from>
    <xdr:to>
      <xdr:col>4</xdr:col>
      <xdr:colOff>642937</xdr:colOff>
      <xdr:row>20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566737</xdr:colOff>
      <xdr:row>5</xdr:row>
      <xdr:rowOff>95250</xdr:rowOff>
    </xdr:from>
    <xdr:to>
      <xdr:col>11</xdr:col>
      <xdr:colOff>61912</xdr:colOff>
      <xdr:row>20</xdr:row>
      <xdr:rowOff>123825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438150</xdr:colOff>
      <xdr:row>5</xdr:row>
      <xdr:rowOff>133350</xdr:rowOff>
    </xdr:from>
    <xdr:to>
      <xdr:col>15</xdr:col>
      <xdr:colOff>371475</xdr:colOff>
      <xdr:row>20</xdr:row>
      <xdr:rowOff>161925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6</xdr:row>
      <xdr:rowOff>85725</xdr:rowOff>
    </xdr:from>
    <xdr:to>
      <xdr:col>5</xdr:col>
      <xdr:colOff>238125</xdr:colOff>
      <xdr:row>21</xdr:row>
      <xdr:rowOff>76200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628650</xdr:colOff>
      <xdr:row>6</xdr:row>
      <xdr:rowOff>66675</xdr:rowOff>
    </xdr:from>
    <xdr:to>
      <xdr:col>9</xdr:col>
      <xdr:colOff>561975</xdr:colOff>
      <xdr:row>21</xdr:row>
      <xdr:rowOff>95250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57150</xdr:colOff>
      <xdr:row>6</xdr:row>
      <xdr:rowOff>9525</xdr:rowOff>
    </xdr:from>
    <xdr:to>
      <xdr:col>17</xdr:col>
      <xdr:colOff>514350</xdr:colOff>
      <xdr:row>21</xdr:row>
      <xdr:rowOff>38100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6</xdr:row>
      <xdr:rowOff>85725</xdr:rowOff>
    </xdr:from>
    <xdr:to>
      <xdr:col>5</xdr:col>
      <xdr:colOff>238125</xdr:colOff>
      <xdr:row>21</xdr:row>
      <xdr:rowOff>76200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628650</xdr:colOff>
      <xdr:row>6</xdr:row>
      <xdr:rowOff>66675</xdr:rowOff>
    </xdr:from>
    <xdr:to>
      <xdr:col>9</xdr:col>
      <xdr:colOff>561975</xdr:colOff>
      <xdr:row>21</xdr:row>
      <xdr:rowOff>95250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57150</xdr:colOff>
      <xdr:row>6</xdr:row>
      <xdr:rowOff>9525</xdr:rowOff>
    </xdr:from>
    <xdr:to>
      <xdr:col>17</xdr:col>
      <xdr:colOff>514350</xdr:colOff>
      <xdr:row>21</xdr:row>
      <xdr:rowOff>38100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9</xdr:row>
      <xdr:rowOff>19050</xdr:rowOff>
    </xdr:from>
    <xdr:to>
      <xdr:col>4</xdr:col>
      <xdr:colOff>638175</xdr:colOff>
      <xdr:row>24</xdr:row>
      <xdr:rowOff>38100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8</xdr:row>
      <xdr:rowOff>133350</xdr:rowOff>
    </xdr:from>
    <xdr:to>
      <xdr:col>9</xdr:col>
      <xdr:colOff>638175</xdr:colOff>
      <xdr:row>23</xdr:row>
      <xdr:rowOff>161925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76200</xdr:colOff>
      <xdr:row>8</xdr:row>
      <xdr:rowOff>95250</xdr:rowOff>
    </xdr:from>
    <xdr:to>
      <xdr:col>18</xdr:col>
      <xdr:colOff>533400</xdr:colOff>
      <xdr:row>23</xdr:row>
      <xdr:rowOff>123825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20171121&#23436;&#31246;&#20179;ERP&#28023;&#20851;&#25968;&#25454;&#32769;&#31995;&#32479;&#25972;&#29702;112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区内一"/>
      <sheetName val="区内四"/>
      <sheetName val="区内一四合并"/>
      <sheetName val="区内一四合并排序"/>
      <sheetName val="区内一四合并排序 (2)"/>
      <sheetName val="海关完税仓整理"/>
      <sheetName val="区内一四合并排序 海关整理合并"/>
      <sheetName val="2014年卡口消数"/>
      <sheetName val="2013年卡口消数"/>
      <sheetName val="2012年卡口消数"/>
      <sheetName val="Sheet1"/>
      <sheetName val="区内一四合并排序 海关整理合并 (2)"/>
      <sheetName val="2014年卡口消数 整理1"/>
      <sheetName val="2014年卡口消数 整理报关单排序"/>
      <sheetName val="2014年卡口消数 整理品名排序(2)"/>
      <sheetName val="2013年卡口消数 整理1"/>
      <sheetName val="2013年卡口消数报关单排序"/>
      <sheetName val="2013年卡口消数品名排序(2)"/>
      <sheetName val="Sheet2 (2)"/>
      <sheetName val="2012年卡口消数 整理"/>
      <sheetName val="2012年卡口消数 整理 (3)"/>
      <sheetName val="2012年卡口消数 整理报关单排序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Q401"/>
  <sheetViews>
    <sheetView workbookViewId="0">
      <selection activeCell="C2" sqref="C2"/>
    </sheetView>
  </sheetViews>
  <sheetFormatPr defaultRowHeight="14.25" x14ac:dyDescent="0.15"/>
  <cols>
    <col min="1" max="1" width="11.625" bestFit="1" customWidth="1"/>
    <col min="2" max="2" width="10.5" bestFit="1" customWidth="1"/>
    <col min="3" max="3" width="27.25" bestFit="1" customWidth="1"/>
    <col min="4" max="4" width="9.125" customWidth="1"/>
    <col min="5" max="5" width="7.125" customWidth="1"/>
    <col min="6" max="6" width="4" customWidth="1"/>
    <col min="8" max="8" width="4.5" bestFit="1" customWidth="1"/>
    <col min="9" max="9" width="2.5" bestFit="1" customWidth="1"/>
    <col min="10" max="10" width="6.5" bestFit="1" customWidth="1"/>
    <col min="11" max="11" width="8.5" bestFit="1" customWidth="1"/>
    <col min="12" max="12" width="6.25" bestFit="1" customWidth="1"/>
    <col min="13" max="13" width="6.5" bestFit="1" customWidth="1"/>
    <col min="14" max="14" width="10.5" bestFit="1" customWidth="1"/>
    <col min="15" max="15" width="16.75" bestFit="1" customWidth="1"/>
    <col min="16" max="16" width="15.625" bestFit="1" customWidth="1"/>
    <col min="17" max="17" width="9.5" bestFit="1" customWidth="1"/>
  </cols>
  <sheetData>
    <row r="1" spans="1:17" x14ac:dyDescent="0.15">
      <c r="A1" s="1" t="s">
        <v>0</v>
      </c>
      <c r="B1" s="1"/>
      <c r="C1" s="1" t="s">
        <v>1</v>
      </c>
      <c r="D1" s="1"/>
      <c r="E1" s="1"/>
      <c r="F1" s="1"/>
      <c r="J1" s="12" t="s">
        <v>57</v>
      </c>
      <c r="K1" s="12" t="s">
        <v>58</v>
      </c>
      <c r="L1" s="11" t="s">
        <v>59</v>
      </c>
      <c r="M1" s="9" t="s">
        <v>60</v>
      </c>
      <c r="N1" s="9" t="s">
        <v>61</v>
      </c>
      <c r="O1" t="s">
        <v>43</v>
      </c>
      <c r="P1" t="s">
        <v>44</v>
      </c>
      <c r="Q1" s="9" t="s">
        <v>45</v>
      </c>
    </row>
    <row r="2" spans="1:17" x14ac:dyDescent="0.15">
      <c r="A2" s="1"/>
      <c r="B2" s="2" t="s">
        <v>2</v>
      </c>
      <c r="C2" s="10">
        <v>3.1415899999999999</v>
      </c>
      <c r="D2" s="1"/>
      <c r="E2" s="1"/>
      <c r="F2" s="1"/>
      <c r="H2">
        <v>1</v>
      </c>
      <c r="I2" t="s">
        <v>56</v>
      </c>
      <c r="J2">
        <v>11965</v>
      </c>
      <c r="K2">
        <v>11965</v>
      </c>
      <c r="O2">
        <f>$C$11/(J2/$C$7)</f>
        <v>2.6256498119515248</v>
      </c>
      <c r="P2">
        <f>$C$10/(J2/$C$7)</f>
        <v>16.715419974926871</v>
      </c>
      <c r="Q2">
        <f>H2*$C$10</f>
        <v>0.2</v>
      </c>
    </row>
    <row r="3" spans="1:17" x14ac:dyDescent="0.15">
      <c r="A3" s="1" t="s">
        <v>46</v>
      </c>
      <c r="B3" s="3" t="s">
        <v>3</v>
      </c>
      <c r="C3" s="4">
        <v>1.8</v>
      </c>
      <c r="D3" s="1" t="s">
        <v>4</v>
      </c>
      <c r="E3" s="1"/>
      <c r="F3" s="1"/>
      <c r="H3">
        <v>2</v>
      </c>
      <c r="I3" t="s">
        <v>76</v>
      </c>
      <c r="J3">
        <v>7179</v>
      </c>
      <c r="K3">
        <v>19144</v>
      </c>
      <c r="O3">
        <f t="shared" ref="O3:O66" si="0">$C$11/(J3/$C$7)</f>
        <v>4.3760830199192089</v>
      </c>
      <c r="P3">
        <f t="shared" ref="P3:P66" si="1">$C$10/(J3/$C$7)</f>
        <v>27.859033291544787</v>
      </c>
      <c r="Q3">
        <f t="shared" ref="Q3:Q66" si="2">H3*$C$10</f>
        <v>0.4</v>
      </c>
    </row>
    <row r="4" spans="1:17" x14ac:dyDescent="0.15">
      <c r="A4" s="13" t="s">
        <v>52</v>
      </c>
      <c r="B4" s="2" t="s">
        <v>5</v>
      </c>
      <c r="C4" s="5">
        <f>360/C3</f>
        <v>200</v>
      </c>
      <c r="D4" s="1"/>
      <c r="E4" s="1"/>
      <c r="F4" s="1"/>
      <c r="H4">
        <v>3</v>
      </c>
      <c r="I4" t="s">
        <v>76</v>
      </c>
      <c r="J4">
        <v>5584</v>
      </c>
      <c r="K4">
        <v>24728</v>
      </c>
      <c r="O4">
        <f t="shared" si="0"/>
        <v>5.6260565902578783</v>
      </c>
      <c r="P4">
        <f t="shared" si="1"/>
        <v>35.816618911174785</v>
      </c>
      <c r="Q4">
        <f t="shared" si="2"/>
        <v>0.60000000000000009</v>
      </c>
    </row>
    <row r="5" spans="1:17" x14ac:dyDescent="0.15">
      <c r="A5" s="1" t="s">
        <v>6</v>
      </c>
      <c r="B5" s="2" t="s">
        <v>7</v>
      </c>
      <c r="C5" s="6">
        <v>1</v>
      </c>
      <c r="D5" s="1"/>
      <c r="E5" s="1"/>
      <c r="F5" s="1"/>
      <c r="H5">
        <v>4</v>
      </c>
      <c r="I5" t="s">
        <v>76</v>
      </c>
      <c r="J5">
        <v>4725</v>
      </c>
      <c r="K5">
        <v>29453</v>
      </c>
      <c r="O5">
        <f t="shared" si="0"/>
        <v>6.6488677248677241</v>
      </c>
      <c r="P5">
        <f t="shared" si="1"/>
        <v>42.328042328042329</v>
      </c>
      <c r="Q5">
        <f t="shared" si="2"/>
        <v>0.8</v>
      </c>
    </row>
    <row r="6" spans="1:17" x14ac:dyDescent="0.15">
      <c r="A6" s="13" t="s">
        <v>51</v>
      </c>
      <c r="B6" s="2" t="s">
        <v>8</v>
      </c>
      <c r="C6" s="5">
        <f>C4*C5</f>
        <v>200</v>
      </c>
      <c r="D6" s="1"/>
      <c r="E6" s="1"/>
      <c r="F6" s="1"/>
      <c r="H6">
        <v>5</v>
      </c>
      <c r="I6" t="s">
        <v>77</v>
      </c>
      <c r="J6">
        <v>4169</v>
      </c>
      <c r="K6">
        <v>33622</v>
      </c>
      <c r="O6">
        <f t="shared" si="0"/>
        <v>7.5355960662029258</v>
      </c>
      <c r="P6">
        <f t="shared" si="1"/>
        <v>47.973135044375155</v>
      </c>
      <c r="Q6">
        <f t="shared" si="2"/>
        <v>1</v>
      </c>
    </row>
    <row r="7" spans="1:17" x14ac:dyDescent="0.15">
      <c r="A7" s="1" t="s">
        <v>9</v>
      </c>
      <c r="B7" s="2" t="s">
        <v>10</v>
      </c>
      <c r="C7" s="5">
        <v>1000000</v>
      </c>
      <c r="D7" s="1"/>
      <c r="E7" s="1"/>
      <c r="F7" s="1"/>
      <c r="H7">
        <v>6</v>
      </c>
      <c r="I7" t="s">
        <v>76</v>
      </c>
      <c r="J7">
        <v>3772</v>
      </c>
      <c r="K7">
        <v>37394</v>
      </c>
      <c r="O7">
        <f t="shared" si="0"/>
        <v>8.3287115588547174</v>
      </c>
      <c r="P7">
        <f t="shared" si="1"/>
        <v>53.022269353128316</v>
      </c>
      <c r="Q7">
        <f t="shared" si="2"/>
        <v>1.2000000000000002</v>
      </c>
    </row>
    <row r="8" spans="1:17" x14ac:dyDescent="0.15">
      <c r="A8" s="1" t="s">
        <v>11</v>
      </c>
      <c r="B8" s="2" t="s">
        <v>12</v>
      </c>
      <c r="C8" s="6">
        <v>2</v>
      </c>
      <c r="D8" s="1" t="s">
        <v>13</v>
      </c>
      <c r="E8" s="1">
        <f>C8/1000</f>
        <v>2E-3</v>
      </c>
      <c r="F8" s="1" t="s">
        <v>7</v>
      </c>
      <c r="H8">
        <v>7</v>
      </c>
      <c r="I8" t="s">
        <v>76</v>
      </c>
      <c r="J8">
        <v>3471</v>
      </c>
      <c r="K8">
        <v>40865</v>
      </c>
      <c r="O8">
        <f t="shared" si="0"/>
        <v>9.0509651397291826</v>
      </c>
      <c r="P8">
        <f t="shared" si="1"/>
        <v>57.620282339383465</v>
      </c>
      <c r="Q8">
        <f t="shared" si="2"/>
        <v>1.4000000000000001</v>
      </c>
    </row>
    <row r="9" spans="1:17" x14ac:dyDescent="0.15">
      <c r="A9" s="1" t="s">
        <v>14</v>
      </c>
      <c r="B9" s="2" t="s">
        <v>15</v>
      </c>
      <c r="C9" s="7">
        <v>20</v>
      </c>
      <c r="D9" s="1" t="s">
        <v>16</v>
      </c>
      <c r="E9" s="1"/>
      <c r="F9" s="1"/>
      <c r="H9">
        <v>8</v>
      </c>
      <c r="I9" t="s">
        <v>76</v>
      </c>
      <c r="J9">
        <v>3231</v>
      </c>
      <c r="K9">
        <v>44096</v>
      </c>
      <c r="O9">
        <f t="shared" si="0"/>
        <v>9.7232745280099024</v>
      </c>
      <c r="P9">
        <f t="shared" si="1"/>
        <v>61.900340451872488</v>
      </c>
      <c r="Q9">
        <f t="shared" si="2"/>
        <v>1.6</v>
      </c>
    </row>
    <row r="10" spans="1:17" x14ac:dyDescent="0.15">
      <c r="A10" s="1" t="s">
        <v>17</v>
      </c>
      <c r="B10" s="2" t="s">
        <v>18</v>
      </c>
      <c r="C10" s="5">
        <f>C8*C9/C6</f>
        <v>0.2</v>
      </c>
      <c r="D10" s="1" t="s">
        <v>19</v>
      </c>
      <c r="E10" s="1"/>
      <c r="F10" s="1"/>
      <c r="H10">
        <v>9</v>
      </c>
      <c r="I10" t="s">
        <v>76</v>
      </c>
      <c r="J10">
        <v>3036</v>
      </c>
      <c r="K10">
        <v>47132</v>
      </c>
      <c r="O10">
        <f t="shared" si="0"/>
        <v>10.347793148880104</v>
      </c>
      <c r="P10">
        <f t="shared" si="1"/>
        <v>65.876152832674578</v>
      </c>
      <c r="Q10">
        <f t="shared" si="2"/>
        <v>1.8</v>
      </c>
    </row>
    <row r="11" spans="1:17" x14ac:dyDescent="0.15">
      <c r="A11" s="13" t="s">
        <v>49</v>
      </c>
      <c r="B11" s="2" t="s">
        <v>20</v>
      </c>
      <c r="C11" s="5">
        <f>2*C2/C6</f>
        <v>3.1415899999999997E-2</v>
      </c>
      <c r="D11" s="1" t="s">
        <v>21</v>
      </c>
      <c r="E11" s="1"/>
      <c r="F11" s="1"/>
      <c r="H11">
        <v>10</v>
      </c>
      <c r="I11" t="s">
        <v>76</v>
      </c>
      <c r="J11">
        <v>2872</v>
      </c>
      <c r="K11">
        <v>50004</v>
      </c>
      <c r="O11">
        <f t="shared" si="0"/>
        <v>10.938683844011141</v>
      </c>
      <c r="P11">
        <f t="shared" si="1"/>
        <v>69.637883008356553</v>
      </c>
      <c r="Q11">
        <f t="shared" si="2"/>
        <v>2</v>
      </c>
    </row>
    <row r="12" spans="1:17" x14ac:dyDescent="0.15">
      <c r="A12" s="1" t="s">
        <v>22</v>
      </c>
      <c r="B12" s="14" t="s">
        <v>50</v>
      </c>
      <c r="C12" s="4">
        <v>20</v>
      </c>
      <c r="D12" s="1"/>
      <c r="E12" s="1"/>
      <c r="F12" s="1"/>
      <c r="H12">
        <v>11</v>
      </c>
      <c r="I12" t="s">
        <v>76</v>
      </c>
      <c r="J12">
        <v>2732</v>
      </c>
      <c r="K12">
        <v>52736</v>
      </c>
      <c r="O12">
        <f t="shared" si="0"/>
        <v>11.499231332357246</v>
      </c>
      <c r="P12">
        <f t="shared" si="1"/>
        <v>73.206442166910691</v>
      </c>
      <c r="Q12">
        <f t="shared" si="2"/>
        <v>2.2000000000000002</v>
      </c>
    </row>
    <row r="13" spans="1:17" x14ac:dyDescent="0.15">
      <c r="A13" s="13" t="s">
        <v>47</v>
      </c>
      <c r="B13" s="2" t="s">
        <v>23</v>
      </c>
      <c r="C13" s="5">
        <f>C11*C7/C12</f>
        <v>1570.7949999999998</v>
      </c>
      <c r="D13" s="1" t="s">
        <v>24</v>
      </c>
      <c r="E13" s="1">
        <f>C13*60/(2*C2)</f>
        <v>15000</v>
      </c>
      <c r="F13" s="1" t="s">
        <v>25</v>
      </c>
      <c r="H13">
        <v>12</v>
      </c>
      <c r="I13" t="s">
        <v>76</v>
      </c>
      <c r="J13">
        <v>2610</v>
      </c>
      <c r="K13">
        <v>55346</v>
      </c>
      <c r="O13">
        <f t="shared" si="0"/>
        <v>12.036743295019157</v>
      </c>
      <c r="P13">
        <f t="shared" si="1"/>
        <v>76.628352490421463</v>
      </c>
      <c r="Q13">
        <f t="shared" si="2"/>
        <v>2.4000000000000004</v>
      </c>
    </row>
    <row r="14" spans="1:17" x14ac:dyDescent="0.15">
      <c r="A14" s="1" t="s">
        <v>26</v>
      </c>
      <c r="B14" s="2" t="s">
        <v>27</v>
      </c>
      <c r="C14" s="5">
        <f>C10*C7/C12</f>
        <v>10000</v>
      </c>
      <c r="D14" s="1" t="s">
        <v>28</v>
      </c>
      <c r="E14" s="1">
        <v>5</v>
      </c>
      <c r="F14" s="1" t="s">
        <v>29</v>
      </c>
      <c r="H14">
        <v>13</v>
      </c>
      <c r="I14" t="s">
        <v>76</v>
      </c>
      <c r="J14">
        <v>2504</v>
      </c>
      <c r="K14">
        <v>57850</v>
      </c>
      <c r="O14">
        <f t="shared" si="0"/>
        <v>12.546285942492011</v>
      </c>
      <c r="P14">
        <f t="shared" si="1"/>
        <v>79.87220447284345</v>
      </c>
      <c r="Q14">
        <f t="shared" si="2"/>
        <v>2.6</v>
      </c>
    </row>
    <row r="15" spans="1:17" x14ac:dyDescent="0.15">
      <c r="A15" s="13" t="s">
        <v>64</v>
      </c>
      <c r="B15" s="2" t="s">
        <v>63</v>
      </c>
      <c r="C15" s="5">
        <f>INT(C7*0.676*INT(SQRT(C11*2*10000*10000/C21))/10000)</f>
        <v>11965</v>
      </c>
      <c r="D15" s="1"/>
      <c r="E15" s="1"/>
      <c r="F15" s="1"/>
      <c r="H15">
        <v>14</v>
      </c>
      <c r="I15" t="s">
        <v>76</v>
      </c>
      <c r="J15">
        <v>2409</v>
      </c>
      <c r="K15">
        <v>60259</v>
      </c>
      <c r="O15">
        <f t="shared" si="0"/>
        <v>13.041054379410541</v>
      </c>
      <c r="P15">
        <f t="shared" si="1"/>
        <v>83.022000830220009</v>
      </c>
      <c r="Q15">
        <f t="shared" si="2"/>
        <v>2.8000000000000003</v>
      </c>
    </row>
    <row r="16" spans="1:17" x14ac:dyDescent="0.15">
      <c r="A16" s="18" t="s">
        <v>66</v>
      </c>
      <c r="B16" s="16" t="s">
        <v>65</v>
      </c>
      <c r="C16" s="17">
        <f>INT(C11 * C7  / C23)</f>
        <v>1570</v>
      </c>
      <c r="D16" s="1"/>
      <c r="E16" s="1"/>
      <c r="F16" s="1"/>
      <c r="H16">
        <v>15</v>
      </c>
      <c r="I16" t="s">
        <v>76</v>
      </c>
      <c r="J16">
        <v>2325</v>
      </c>
      <c r="K16">
        <v>62584</v>
      </c>
      <c r="O16">
        <f t="shared" si="0"/>
        <v>13.512215053763441</v>
      </c>
      <c r="P16">
        <f t="shared" si="1"/>
        <v>86.021505376344095</v>
      </c>
      <c r="Q16">
        <f t="shared" si="2"/>
        <v>3</v>
      </c>
    </row>
    <row r="17" spans="1:17" x14ac:dyDescent="0.15">
      <c r="A17" s="8" t="s">
        <v>30</v>
      </c>
      <c r="B17" s="29" t="s">
        <v>31</v>
      </c>
      <c r="C17" s="29"/>
      <c r="D17" s="29"/>
      <c r="E17" t="s">
        <v>24</v>
      </c>
      <c r="F17" s="8"/>
      <c r="H17">
        <v>16</v>
      </c>
      <c r="I17" t="s">
        <v>76</v>
      </c>
      <c r="J17">
        <v>2249</v>
      </c>
      <c r="K17">
        <v>64833</v>
      </c>
      <c r="O17">
        <f t="shared" si="0"/>
        <v>13.968830591373942</v>
      </c>
      <c r="P17">
        <f t="shared" si="1"/>
        <v>88.928412627834589</v>
      </c>
      <c r="Q17">
        <f t="shared" si="2"/>
        <v>3.2</v>
      </c>
    </row>
    <row r="18" spans="1:17" x14ac:dyDescent="0.15">
      <c r="A18" s="8" t="s">
        <v>32</v>
      </c>
      <c r="B18" s="30" t="s">
        <v>48</v>
      </c>
      <c r="C18" s="29"/>
      <c r="D18" s="29"/>
      <c r="E18" t="s">
        <v>28</v>
      </c>
      <c r="H18">
        <v>17</v>
      </c>
      <c r="I18" t="s">
        <v>76</v>
      </c>
      <c r="J18">
        <v>2179</v>
      </c>
      <c r="K18">
        <v>67012</v>
      </c>
      <c r="O18">
        <f t="shared" si="0"/>
        <v>14.417576870123909</v>
      </c>
      <c r="P18">
        <f t="shared" si="1"/>
        <v>91.785222579164767</v>
      </c>
      <c r="Q18">
        <f t="shared" si="2"/>
        <v>3.4000000000000004</v>
      </c>
    </row>
    <row r="19" spans="1:17" x14ac:dyDescent="0.15">
      <c r="A19" s="31" t="s">
        <v>54</v>
      </c>
      <c r="B19" s="31"/>
      <c r="C19" s="31"/>
      <c r="D19" s="31"/>
      <c r="E19" s="31"/>
      <c r="F19" s="31"/>
      <c r="H19">
        <v>18</v>
      </c>
      <c r="I19" t="s">
        <v>76</v>
      </c>
      <c r="J19">
        <v>2116</v>
      </c>
      <c r="K19">
        <v>69128</v>
      </c>
      <c r="O19">
        <f t="shared" si="0"/>
        <v>14.846833648393194</v>
      </c>
      <c r="P19">
        <f t="shared" si="1"/>
        <v>94.517958412098309</v>
      </c>
      <c r="Q19">
        <f t="shared" si="2"/>
        <v>3.6</v>
      </c>
    </row>
    <row r="20" spans="1:17" x14ac:dyDescent="0.15">
      <c r="A20" s="9" t="s">
        <v>33</v>
      </c>
      <c r="B20" s="9" t="s">
        <v>37</v>
      </c>
      <c r="C20" s="10">
        <f>C6*2</f>
        <v>400</v>
      </c>
      <c r="H20">
        <v>19</v>
      </c>
      <c r="I20" t="s">
        <v>76</v>
      </c>
      <c r="J20">
        <v>2058</v>
      </c>
      <c r="K20">
        <v>71186</v>
      </c>
      <c r="O20">
        <f t="shared" si="0"/>
        <v>15.26525753158406</v>
      </c>
      <c r="P20">
        <f t="shared" si="1"/>
        <v>97.181729834791071</v>
      </c>
      <c r="Q20">
        <f t="shared" si="2"/>
        <v>3.8000000000000003</v>
      </c>
    </row>
    <row r="21" spans="1:17" ht="16.5" x14ac:dyDescent="0.15">
      <c r="A21" s="9" t="s">
        <v>34</v>
      </c>
      <c r="B21" s="9" t="s">
        <v>38</v>
      </c>
      <c r="C21" s="10">
        <v>200</v>
      </c>
      <c r="D21" s="9" t="s">
        <v>41</v>
      </c>
      <c r="E21">
        <f>C21*C10/C11</f>
        <v>1273.2406201955062</v>
      </c>
      <c r="F21" s="9" t="s">
        <v>55</v>
      </c>
      <c r="H21">
        <v>20</v>
      </c>
      <c r="I21" t="s">
        <v>76</v>
      </c>
      <c r="J21">
        <v>2005</v>
      </c>
      <c r="K21">
        <v>73191</v>
      </c>
      <c r="O21">
        <f t="shared" si="0"/>
        <v>15.668778054862843</v>
      </c>
      <c r="P21">
        <f t="shared" si="1"/>
        <v>99.750623441396527</v>
      </c>
      <c r="Q21">
        <f t="shared" si="2"/>
        <v>4</v>
      </c>
    </row>
    <row r="22" spans="1:17" ht="16.5" x14ac:dyDescent="0.15">
      <c r="A22" s="9" t="s">
        <v>35</v>
      </c>
      <c r="B22" s="9" t="s">
        <v>39</v>
      </c>
      <c r="C22" s="10">
        <v>200</v>
      </c>
      <c r="D22" s="9" t="s">
        <v>41</v>
      </c>
      <c r="E22">
        <f>C22*C10/C11</f>
        <v>1273.2406201955062</v>
      </c>
      <c r="F22" s="9" t="s">
        <v>55</v>
      </c>
      <c r="H22">
        <v>21</v>
      </c>
      <c r="I22" t="s">
        <v>76</v>
      </c>
      <c r="J22">
        <v>1955</v>
      </c>
      <c r="K22">
        <v>75146</v>
      </c>
      <c r="O22">
        <f t="shared" si="0"/>
        <v>16.069514066496161</v>
      </c>
      <c r="P22">
        <f t="shared" si="1"/>
        <v>102.30179028132993</v>
      </c>
      <c r="Q22">
        <f t="shared" si="2"/>
        <v>4.2</v>
      </c>
    </row>
    <row r="23" spans="1:17" x14ac:dyDescent="0.15">
      <c r="A23" s="9" t="s">
        <v>36</v>
      </c>
      <c r="B23" s="9" t="s">
        <v>40</v>
      </c>
      <c r="C23" s="10">
        <v>20</v>
      </c>
      <c r="D23" s="9" t="s">
        <v>42</v>
      </c>
      <c r="E23">
        <f>C23*C10/C11</f>
        <v>127.32406201955062</v>
      </c>
      <c r="F23" s="9" t="s">
        <v>53</v>
      </c>
      <c r="H23">
        <v>22</v>
      </c>
      <c r="I23" t="s">
        <v>76</v>
      </c>
      <c r="J23">
        <v>1909</v>
      </c>
      <c r="K23">
        <v>77055</v>
      </c>
      <c r="O23">
        <f t="shared" si="0"/>
        <v>16.456731272917754</v>
      </c>
      <c r="P23">
        <f t="shared" si="1"/>
        <v>104.76689366160294</v>
      </c>
      <c r="Q23">
        <f t="shared" si="2"/>
        <v>4.4000000000000004</v>
      </c>
    </row>
    <row r="24" spans="1:17" x14ac:dyDescent="0.15">
      <c r="A24" s="15"/>
      <c r="B24" s="9"/>
      <c r="H24">
        <v>23</v>
      </c>
      <c r="I24" t="s">
        <v>76</v>
      </c>
      <c r="J24">
        <v>1867</v>
      </c>
      <c r="K24">
        <v>78922</v>
      </c>
      <c r="O24">
        <f t="shared" si="0"/>
        <v>16.826941617568291</v>
      </c>
      <c r="P24">
        <f t="shared" si="1"/>
        <v>107.12372790573113</v>
      </c>
      <c r="Q24">
        <f t="shared" si="2"/>
        <v>4.6000000000000005</v>
      </c>
    </row>
    <row r="25" spans="1:17" x14ac:dyDescent="0.15">
      <c r="H25">
        <v>24</v>
      </c>
      <c r="I25" t="s">
        <v>76</v>
      </c>
      <c r="J25">
        <v>1826</v>
      </c>
      <c r="K25">
        <v>80748</v>
      </c>
      <c r="O25">
        <f t="shared" si="0"/>
        <v>17.204764512595837</v>
      </c>
      <c r="P25">
        <f t="shared" si="1"/>
        <v>109.5290251916758</v>
      </c>
      <c r="Q25">
        <f t="shared" si="2"/>
        <v>4.8000000000000007</v>
      </c>
    </row>
    <row r="26" spans="1:17" x14ac:dyDescent="0.15">
      <c r="H26">
        <v>25</v>
      </c>
      <c r="I26" t="s">
        <v>76</v>
      </c>
      <c r="J26">
        <v>1789</v>
      </c>
      <c r="K26">
        <v>82537</v>
      </c>
      <c r="O26">
        <f t="shared" si="0"/>
        <v>17.560592509781998</v>
      </c>
      <c r="P26">
        <f t="shared" si="1"/>
        <v>111.79429849077698</v>
      </c>
      <c r="Q26">
        <f t="shared" si="2"/>
        <v>5</v>
      </c>
    </row>
    <row r="27" spans="1:17" x14ac:dyDescent="0.15">
      <c r="H27">
        <v>26</v>
      </c>
      <c r="I27" t="s">
        <v>76</v>
      </c>
      <c r="J27">
        <v>1753</v>
      </c>
      <c r="K27">
        <v>84290</v>
      </c>
      <c r="O27">
        <f t="shared" si="0"/>
        <v>17.921220764403877</v>
      </c>
      <c r="P27">
        <f t="shared" si="1"/>
        <v>114.09013120365088</v>
      </c>
      <c r="Q27">
        <f t="shared" si="2"/>
        <v>5.2</v>
      </c>
    </row>
    <row r="28" spans="1:17" x14ac:dyDescent="0.15">
      <c r="H28">
        <v>27</v>
      </c>
      <c r="I28" t="s">
        <v>76</v>
      </c>
      <c r="J28">
        <v>1720</v>
      </c>
      <c r="K28">
        <v>86010</v>
      </c>
      <c r="O28">
        <f t="shared" si="0"/>
        <v>18.265058139534883</v>
      </c>
      <c r="P28">
        <f t="shared" si="1"/>
        <v>116.27906976744187</v>
      </c>
      <c r="Q28">
        <f t="shared" si="2"/>
        <v>5.4</v>
      </c>
    </row>
    <row r="29" spans="1:17" x14ac:dyDescent="0.15">
      <c r="H29">
        <v>28</v>
      </c>
      <c r="I29" t="s">
        <v>76</v>
      </c>
      <c r="J29">
        <v>1688</v>
      </c>
      <c r="K29">
        <v>87698</v>
      </c>
      <c r="O29">
        <f t="shared" si="0"/>
        <v>18.611315165876775</v>
      </c>
      <c r="P29">
        <f t="shared" si="1"/>
        <v>118.48341232227489</v>
      </c>
      <c r="Q29">
        <f t="shared" si="2"/>
        <v>5.6000000000000005</v>
      </c>
    </row>
    <row r="30" spans="1:17" x14ac:dyDescent="0.15">
      <c r="H30">
        <v>29</v>
      </c>
      <c r="I30" t="s">
        <v>76</v>
      </c>
      <c r="J30">
        <v>1659</v>
      </c>
      <c r="K30">
        <v>89357</v>
      </c>
      <c r="O30">
        <f t="shared" si="0"/>
        <v>18.936648583484022</v>
      </c>
      <c r="P30">
        <f t="shared" si="1"/>
        <v>120.55455093429777</v>
      </c>
      <c r="Q30">
        <f t="shared" si="2"/>
        <v>5.8000000000000007</v>
      </c>
    </row>
    <row r="31" spans="1:17" x14ac:dyDescent="0.15">
      <c r="H31">
        <v>30</v>
      </c>
      <c r="I31" t="s">
        <v>76</v>
      </c>
      <c r="J31">
        <v>1630</v>
      </c>
      <c r="K31">
        <v>90987</v>
      </c>
      <c r="O31">
        <f t="shared" si="0"/>
        <v>19.273558282208587</v>
      </c>
      <c r="P31">
        <f t="shared" si="1"/>
        <v>122.6993865030675</v>
      </c>
      <c r="Q31">
        <f t="shared" si="2"/>
        <v>6</v>
      </c>
    </row>
    <row r="32" spans="1:17" x14ac:dyDescent="0.15">
      <c r="H32">
        <v>31</v>
      </c>
      <c r="I32" t="s">
        <v>76</v>
      </c>
      <c r="J32">
        <v>1603</v>
      </c>
      <c r="K32">
        <v>92590</v>
      </c>
      <c r="O32">
        <f t="shared" si="0"/>
        <v>19.598190892077351</v>
      </c>
      <c r="P32">
        <f t="shared" si="1"/>
        <v>124.76606363069246</v>
      </c>
      <c r="Q32">
        <f t="shared" si="2"/>
        <v>6.2</v>
      </c>
    </row>
    <row r="33" spans="1:17" x14ac:dyDescent="0.15">
      <c r="H33">
        <v>32</v>
      </c>
      <c r="I33" t="s">
        <v>76</v>
      </c>
      <c r="J33">
        <v>1578</v>
      </c>
      <c r="K33">
        <v>94168</v>
      </c>
      <c r="O33">
        <f t="shared" si="0"/>
        <v>19.908681875792141</v>
      </c>
      <c r="P33">
        <f t="shared" si="1"/>
        <v>126.7427122940431</v>
      </c>
      <c r="Q33">
        <f t="shared" si="2"/>
        <v>6.4</v>
      </c>
    </row>
    <row r="34" spans="1:17" x14ac:dyDescent="0.15">
      <c r="A34" s="9" t="s">
        <v>67</v>
      </c>
      <c r="B34" t="s">
        <v>69</v>
      </c>
      <c r="C34">
        <f>INT(C23 * C23 / (2 *C11  * C21))</f>
        <v>31</v>
      </c>
      <c r="D34" s="9" t="s">
        <v>84</v>
      </c>
      <c r="E34">
        <f>SUM(J2:J33)</f>
        <v>94168</v>
      </c>
      <c r="F34" s="9" t="s">
        <v>85</v>
      </c>
      <c r="H34">
        <v>33</v>
      </c>
      <c r="I34" t="s">
        <v>78</v>
      </c>
      <c r="J34">
        <v>1570</v>
      </c>
      <c r="K34">
        <v>95738</v>
      </c>
      <c r="O34">
        <f t="shared" si="0"/>
        <v>20.010127388535029</v>
      </c>
      <c r="P34">
        <f t="shared" si="1"/>
        <v>127.38853503184714</v>
      </c>
      <c r="Q34">
        <f t="shared" si="2"/>
        <v>6.6000000000000005</v>
      </c>
    </row>
    <row r="35" spans="1:17" x14ac:dyDescent="0.15">
      <c r="A35" s="9" t="s">
        <v>68</v>
      </c>
      <c r="B35" t="s">
        <v>70</v>
      </c>
      <c r="C35">
        <f xml:space="preserve"> INT((C20 * C22) / (C21 + C22))</f>
        <v>200</v>
      </c>
      <c r="F35" s="9"/>
      <c r="H35">
        <v>34</v>
      </c>
      <c r="I35" t="s">
        <v>78</v>
      </c>
      <c r="J35">
        <v>1570</v>
      </c>
      <c r="K35">
        <v>97308</v>
      </c>
      <c r="O35">
        <f t="shared" si="0"/>
        <v>20.010127388535029</v>
      </c>
      <c r="P35">
        <f t="shared" si="1"/>
        <v>127.38853503184714</v>
      </c>
      <c r="Q35">
        <f t="shared" si="2"/>
        <v>6.8000000000000007</v>
      </c>
    </row>
    <row r="36" spans="1:17" x14ac:dyDescent="0.15">
      <c r="A36" s="19" t="s">
        <v>72</v>
      </c>
      <c r="B36" s="20" t="s">
        <v>71</v>
      </c>
      <c r="C36" s="20">
        <f>IF(C35&lt;=C34,C20-C35,C34*C21/C22)</f>
        <v>31</v>
      </c>
      <c r="D36" s="9" t="s">
        <v>86</v>
      </c>
      <c r="E36">
        <f>SUM(J371:J401)</f>
        <v>89710</v>
      </c>
      <c r="F36" s="9" t="s">
        <v>85</v>
      </c>
      <c r="H36">
        <v>35</v>
      </c>
      <c r="I36" t="s">
        <v>78</v>
      </c>
      <c r="J36">
        <v>1570</v>
      </c>
      <c r="K36">
        <v>98878</v>
      </c>
      <c r="O36">
        <f t="shared" si="0"/>
        <v>20.010127388535029</v>
      </c>
      <c r="P36">
        <f t="shared" si="1"/>
        <v>127.38853503184714</v>
      </c>
      <c r="Q36">
        <f t="shared" si="2"/>
        <v>7</v>
      </c>
    </row>
    <row r="37" spans="1:17" x14ac:dyDescent="0.15">
      <c r="A37" s="19" t="s">
        <v>73</v>
      </c>
      <c r="B37" s="19" t="s">
        <v>74</v>
      </c>
      <c r="C37" s="20">
        <f>IF(C35&lt;=C34,0,C20-C34-C36)</f>
        <v>338</v>
      </c>
      <c r="D37" s="9" t="s">
        <v>87</v>
      </c>
      <c r="E37">
        <f>SUM(J34:J370)</f>
        <v>529090</v>
      </c>
      <c r="F37" s="9" t="s">
        <v>85</v>
      </c>
      <c r="H37">
        <v>36</v>
      </c>
      <c r="I37" t="s">
        <v>78</v>
      </c>
      <c r="J37">
        <v>1570</v>
      </c>
      <c r="K37">
        <v>100448</v>
      </c>
      <c r="O37">
        <f t="shared" si="0"/>
        <v>20.010127388535029</v>
      </c>
      <c r="P37">
        <f t="shared" si="1"/>
        <v>127.38853503184714</v>
      </c>
      <c r="Q37">
        <f t="shared" si="2"/>
        <v>7.2</v>
      </c>
    </row>
    <row r="38" spans="1:17" x14ac:dyDescent="0.15">
      <c r="A38" s="9" t="s">
        <v>75</v>
      </c>
      <c r="B38" s="9" t="s">
        <v>62</v>
      </c>
      <c r="D38" s="9" t="s">
        <v>75</v>
      </c>
      <c r="E38">
        <f>SUM(E34,E36,E37)</f>
        <v>712968</v>
      </c>
      <c r="F38" s="9" t="s">
        <v>88</v>
      </c>
      <c r="H38">
        <v>37</v>
      </c>
      <c r="I38" t="s">
        <v>78</v>
      </c>
      <c r="J38">
        <v>1570</v>
      </c>
      <c r="K38">
        <v>102018</v>
      </c>
      <c r="O38">
        <f t="shared" si="0"/>
        <v>20.010127388535029</v>
      </c>
      <c r="P38">
        <f t="shared" si="1"/>
        <v>127.38853503184714</v>
      </c>
      <c r="Q38">
        <f t="shared" si="2"/>
        <v>7.4</v>
      </c>
    </row>
    <row r="39" spans="1:17" x14ac:dyDescent="0.15">
      <c r="H39">
        <v>38</v>
      </c>
      <c r="I39" t="s">
        <v>78</v>
      </c>
      <c r="J39">
        <v>1570</v>
      </c>
      <c r="K39">
        <v>103588</v>
      </c>
      <c r="O39">
        <f t="shared" si="0"/>
        <v>20.010127388535029</v>
      </c>
      <c r="P39">
        <f t="shared" si="1"/>
        <v>127.38853503184714</v>
      </c>
      <c r="Q39">
        <f t="shared" si="2"/>
        <v>7.6000000000000005</v>
      </c>
    </row>
    <row r="40" spans="1:17" x14ac:dyDescent="0.15">
      <c r="H40">
        <v>39</v>
      </c>
      <c r="I40" t="s">
        <v>78</v>
      </c>
      <c r="J40">
        <v>1570</v>
      </c>
      <c r="K40">
        <v>105158</v>
      </c>
      <c r="O40">
        <f t="shared" si="0"/>
        <v>20.010127388535029</v>
      </c>
      <c r="P40">
        <f t="shared" si="1"/>
        <v>127.38853503184714</v>
      </c>
      <c r="Q40">
        <f t="shared" si="2"/>
        <v>7.8000000000000007</v>
      </c>
    </row>
    <row r="41" spans="1:17" x14ac:dyDescent="0.15">
      <c r="H41">
        <v>40</v>
      </c>
      <c r="I41" t="s">
        <v>78</v>
      </c>
      <c r="J41">
        <v>1570</v>
      </c>
      <c r="K41">
        <v>106728</v>
      </c>
      <c r="O41">
        <f t="shared" si="0"/>
        <v>20.010127388535029</v>
      </c>
      <c r="P41">
        <f t="shared" si="1"/>
        <v>127.38853503184714</v>
      </c>
      <c r="Q41">
        <f t="shared" si="2"/>
        <v>8</v>
      </c>
    </row>
    <row r="42" spans="1:17" x14ac:dyDescent="0.15">
      <c r="H42">
        <v>41</v>
      </c>
      <c r="I42" t="s">
        <v>78</v>
      </c>
      <c r="J42">
        <v>1570</v>
      </c>
      <c r="K42">
        <v>108298</v>
      </c>
      <c r="O42">
        <f t="shared" si="0"/>
        <v>20.010127388535029</v>
      </c>
      <c r="P42">
        <f t="shared" si="1"/>
        <v>127.38853503184714</v>
      </c>
      <c r="Q42">
        <f t="shared" si="2"/>
        <v>8.2000000000000011</v>
      </c>
    </row>
    <row r="43" spans="1:17" x14ac:dyDescent="0.15">
      <c r="H43">
        <v>42</v>
      </c>
      <c r="I43" t="s">
        <v>78</v>
      </c>
      <c r="J43">
        <v>1570</v>
      </c>
      <c r="K43">
        <v>109868</v>
      </c>
      <c r="O43">
        <f t="shared" si="0"/>
        <v>20.010127388535029</v>
      </c>
      <c r="P43">
        <f t="shared" si="1"/>
        <v>127.38853503184714</v>
      </c>
      <c r="Q43">
        <f t="shared" si="2"/>
        <v>8.4</v>
      </c>
    </row>
    <row r="44" spans="1:17" x14ac:dyDescent="0.15">
      <c r="H44">
        <v>43</v>
      </c>
      <c r="I44" t="s">
        <v>78</v>
      </c>
      <c r="J44">
        <v>1570</v>
      </c>
      <c r="K44">
        <v>111438</v>
      </c>
      <c r="O44">
        <f t="shared" si="0"/>
        <v>20.010127388535029</v>
      </c>
      <c r="P44">
        <f t="shared" si="1"/>
        <v>127.38853503184714</v>
      </c>
      <c r="Q44">
        <f t="shared" si="2"/>
        <v>8.6</v>
      </c>
    </row>
    <row r="45" spans="1:17" x14ac:dyDescent="0.15">
      <c r="H45">
        <v>44</v>
      </c>
      <c r="I45" t="s">
        <v>78</v>
      </c>
      <c r="J45">
        <v>1570</v>
      </c>
      <c r="K45">
        <v>113008</v>
      </c>
      <c r="O45">
        <f t="shared" si="0"/>
        <v>20.010127388535029</v>
      </c>
      <c r="P45">
        <f t="shared" si="1"/>
        <v>127.38853503184714</v>
      </c>
      <c r="Q45">
        <f t="shared" si="2"/>
        <v>8.8000000000000007</v>
      </c>
    </row>
    <row r="46" spans="1:17" x14ac:dyDescent="0.15">
      <c r="H46">
        <v>45</v>
      </c>
      <c r="I46" t="s">
        <v>78</v>
      </c>
      <c r="J46">
        <v>1570</v>
      </c>
      <c r="K46">
        <v>114578</v>
      </c>
      <c r="O46">
        <f t="shared" si="0"/>
        <v>20.010127388535029</v>
      </c>
      <c r="P46">
        <f t="shared" si="1"/>
        <v>127.38853503184714</v>
      </c>
      <c r="Q46">
        <f t="shared" si="2"/>
        <v>9</v>
      </c>
    </row>
    <row r="47" spans="1:17" x14ac:dyDescent="0.15">
      <c r="H47">
        <v>46</v>
      </c>
      <c r="I47" t="s">
        <v>78</v>
      </c>
      <c r="J47">
        <v>1570</v>
      </c>
      <c r="K47">
        <v>116148</v>
      </c>
      <c r="O47">
        <f t="shared" si="0"/>
        <v>20.010127388535029</v>
      </c>
      <c r="P47">
        <f t="shared" si="1"/>
        <v>127.38853503184714</v>
      </c>
      <c r="Q47">
        <f t="shared" si="2"/>
        <v>9.2000000000000011</v>
      </c>
    </row>
    <row r="48" spans="1:17" x14ac:dyDescent="0.15">
      <c r="H48">
        <v>47</v>
      </c>
      <c r="I48" t="s">
        <v>78</v>
      </c>
      <c r="J48">
        <v>1570</v>
      </c>
      <c r="K48">
        <v>117718</v>
      </c>
      <c r="O48">
        <f t="shared" si="0"/>
        <v>20.010127388535029</v>
      </c>
      <c r="P48">
        <f t="shared" si="1"/>
        <v>127.38853503184714</v>
      </c>
      <c r="Q48">
        <f t="shared" si="2"/>
        <v>9.4</v>
      </c>
    </row>
    <row r="49" spans="8:17" x14ac:dyDescent="0.15">
      <c r="H49">
        <v>48</v>
      </c>
      <c r="I49" t="s">
        <v>78</v>
      </c>
      <c r="J49">
        <v>1570</v>
      </c>
      <c r="K49">
        <v>119288</v>
      </c>
      <c r="O49">
        <f t="shared" si="0"/>
        <v>20.010127388535029</v>
      </c>
      <c r="P49">
        <f t="shared" si="1"/>
        <v>127.38853503184714</v>
      </c>
      <c r="Q49">
        <f t="shared" si="2"/>
        <v>9.6000000000000014</v>
      </c>
    </row>
    <row r="50" spans="8:17" x14ac:dyDescent="0.15">
      <c r="H50">
        <v>49</v>
      </c>
      <c r="I50" t="s">
        <v>78</v>
      </c>
      <c r="J50">
        <v>1570</v>
      </c>
      <c r="K50">
        <v>120858</v>
      </c>
      <c r="O50">
        <f t="shared" si="0"/>
        <v>20.010127388535029</v>
      </c>
      <c r="P50">
        <f t="shared" si="1"/>
        <v>127.38853503184714</v>
      </c>
      <c r="Q50">
        <f t="shared" si="2"/>
        <v>9.8000000000000007</v>
      </c>
    </row>
    <row r="51" spans="8:17" x14ac:dyDescent="0.15">
      <c r="H51">
        <v>50</v>
      </c>
      <c r="I51" t="s">
        <v>78</v>
      </c>
      <c r="J51">
        <v>1570</v>
      </c>
      <c r="K51">
        <v>122428</v>
      </c>
      <c r="O51">
        <f t="shared" si="0"/>
        <v>20.010127388535029</v>
      </c>
      <c r="P51">
        <f t="shared" si="1"/>
        <v>127.38853503184714</v>
      </c>
      <c r="Q51">
        <f t="shared" si="2"/>
        <v>10</v>
      </c>
    </row>
    <row r="52" spans="8:17" x14ac:dyDescent="0.15">
      <c r="H52">
        <v>51</v>
      </c>
      <c r="I52" t="s">
        <v>78</v>
      </c>
      <c r="J52">
        <v>1570</v>
      </c>
      <c r="K52">
        <v>123998</v>
      </c>
      <c r="O52">
        <f t="shared" si="0"/>
        <v>20.010127388535029</v>
      </c>
      <c r="P52">
        <f t="shared" si="1"/>
        <v>127.38853503184714</v>
      </c>
      <c r="Q52">
        <f t="shared" si="2"/>
        <v>10.200000000000001</v>
      </c>
    </row>
    <row r="53" spans="8:17" x14ac:dyDescent="0.15">
      <c r="H53">
        <v>52</v>
      </c>
      <c r="I53" t="s">
        <v>78</v>
      </c>
      <c r="J53">
        <v>1570</v>
      </c>
      <c r="K53">
        <v>125568</v>
      </c>
      <c r="O53">
        <f t="shared" si="0"/>
        <v>20.010127388535029</v>
      </c>
      <c r="P53">
        <f t="shared" si="1"/>
        <v>127.38853503184714</v>
      </c>
      <c r="Q53">
        <f t="shared" si="2"/>
        <v>10.4</v>
      </c>
    </row>
    <row r="54" spans="8:17" x14ac:dyDescent="0.15">
      <c r="H54">
        <v>53</v>
      </c>
      <c r="I54" t="s">
        <v>78</v>
      </c>
      <c r="J54">
        <v>1570</v>
      </c>
      <c r="K54">
        <v>127138</v>
      </c>
      <c r="O54">
        <f t="shared" si="0"/>
        <v>20.010127388535029</v>
      </c>
      <c r="P54">
        <f t="shared" si="1"/>
        <v>127.38853503184714</v>
      </c>
      <c r="Q54">
        <f t="shared" si="2"/>
        <v>10.600000000000001</v>
      </c>
    </row>
    <row r="55" spans="8:17" x14ac:dyDescent="0.15">
      <c r="H55">
        <v>54</v>
      </c>
      <c r="I55" t="s">
        <v>78</v>
      </c>
      <c r="J55">
        <v>1570</v>
      </c>
      <c r="K55">
        <v>128708</v>
      </c>
      <c r="O55">
        <f t="shared" si="0"/>
        <v>20.010127388535029</v>
      </c>
      <c r="P55">
        <f t="shared" si="1"/>
        <v>127.38853503184714</v>
      </c>
      <c r="Q55">
        <f t="shared" si="2"/>
        <v>10.8</v>
      </c>
    </row>
    <row r="56" spans="8:17" x14ac:dyDescent="0.15">
      <c r="H56">
        <v>55</v>
      </c>
      <c r="I56" t="s">
        <v>78</v>
      </c>
      <c r="J56">
        <v>1570</v>
      </c>
      <c r="K56">
        <v>130278</v>
      </c>
      <c r="O56">
        <f t="shared" si="0"/>
        <v>20.010127388535029</v>
      </c>
      <c r="P56">
        <f t="shared" si="1"/>
        <v>127.38853503184714</v>
      </c>
      <c r="Q56">
        <f t="shared" si="2"/>
        <v>11</v>
      </c>
    </row>
    <row r="57" spans="8:17" x14ac:dyDescent="0.15">
      <c r="H57">
        <v>56</v>
      </c>
      <c r="I57" t="s">
        <v>78</v>
      </c>
      <c r="J57">
        <v>1570</v>
      </c>
      <c r="K57">
        <v>131848</v>
      </c>
      <c r="O57">
        <f t="shared" si="0"/>
        <v>20.010127388535029</v>
      </c>
      <c r="P57">
        <f t="shared" si="1"/>
        <v>127.38853503184714</v>
      </c>
      <c r="Q57">
        <f t="shared" si="2"/>
        <v>11.200000000000001</v>
      </c>
    </row>
    <row r="58" spans="8:17" x14ac:dyDescent="0.15">
      <c r="H58">
        <v>57</v>
      </c>
      <c r="I58" t="s">
        <v>78</v>
      </c>
      <c r="J58">
        <v>1570</v>
      </c>
      <c r="K58">
        <v>133418</v>
      </c>
      <c r="O58">
        <f t="shared" si="0"/>
        <v>20.010127388535029</v>
      </c>
      <c r="P58">
        <f t="shared" si="1"/>
        <v>127.38853503184714</v>
      </c>
      <c r="Q58">
        <f t="shared" si="2"/>
        <v>11.4</v>
      </c>
    </row>
    <row r="59" spans="8:17" x14ac:dyDescent="0.15">
      <c r="H59">
        <v>58</v>
      </c>
      <c r="I59" t="s">
        <v>78</v>
      </c>
      <c r="J59">
        <v>1570</v>
      </c>
      <c r="K59">
        <v>134988</v>
      </c>
      <c r="O59">
        <f t="shared" si="0"/>
        <v>20.010127388535029</v>
      </c>
      <c r="P59">
        <f t="shared" si="1"/>
        <v>127.38853503184714</v>
      </c>
      <c r="Q59">
        <f t="shared" si="2"/>
        <v>11.600000000000001</v>
      </c>
    </row>
    <row r="60" spans="8:17" x14ac:dyDescent="0.15">
      <c r="H60">
        <v>59</v>
      </c>
      <c r="I60" t="s">
        <v>78</v>
      </c>
      <c r="J60">
        <v>1570</v>
      </c>
      <c r="K60">
        <v>136558</v>
      </c>
      <c r="O60">
        <f t="shared" si="0"/>
        <v>20.010127388535029</v>
      </c>
      <c r="P60">
        <f t="shared" si="1"/>
        <v>127.38853503184714</v>
      </c>
      <c r="Q60">
        <f t="shared" si="2"/>
        <v>11.8</v>
      </c>
    </row>
    <row r="61" spans="8:17" x14ac:dyDescent="0.15">
      <c r="H61">
        <v>60</v>
      </c>
      <c r="I61" t="s">
        <v>78</v>
      </c>
      <c r="J61">
        <v>1570</v>
      </c>
      <c r="K61">
        <v>138128</v>
      </c>
      <c r="O61">
        <f t="shared" si="0"/>
        <v>20.010127388535029</v>
      </c>
      <c r="P61">
        <f t="shared" si="1"/>
        <v>127.38853503184714</v>
      </c>
      <c r="Q61">
        <f t="shared" si="2"/>
        <v>12</v>
      </c>
    </row>
    <row r="62" spans="8:17" x14ac:dyDescent="0.15">
      <c r="H62">
        <v>61</v>
      </c>
      <c r="I62" t="s">
        <v>78</v>
      </c>
      <c r="J62">
        <v>1570</v>
      </c>
      <c r="K62">
        <v>139698</v>
      </c>
      <c r="O62">
        <f t="shared" si="0"/>
        <v>20.010127388535029</v>
      </c>
      <c r="P62">
        <f t="shared" si="1"/>
        <v>127.38853503184714</v>
      </c>
      <c r="Q62">
        <f t="shared" si="2"/>
        <v>12.200000000000001</v>
      </c>
    </row>
    <row r="63" spans="8:17" x14ac:dyDescent="0.15">
      <c r="H63">
        <v>62</v>
      </c>
      <c r="I63" t="s">
        <v>78</v>
      </c>
      <c r="J63">
        <v>1570</v>
      </c>
      <c r="K63">
        <v>141268</v>
      </c>
      <c r="O63">
        <f t="shared" si="0"/>
        <v>20.010127388535029</v>
      </c>
      <c r="P63">
        <f t="shared" si="1"/>
        <v>127.38853503184714</v>
      </c>
      <c r="Q63">
        <f t="shared" si="2"/>
        <v>12.4</v>
      </c>
    </row>
    <row r="64" spans="8:17" x14ac:dyDescent="0.15">
      <c r="H64">
        <v>63</v>
      </c>
      <c r="I64" t="s">
        <v>78</v>
      </c>
      <c r="J64">
        <v>1570</v>
      </c>
      <c r="K64">
        <v>142838</v>
      </c>
      <c r="O64">
        <f t="shared" si="0"/>
        <v>20.010127388535029</v>
      </c>
      <c r="P64">
        <f t="shared" si="1"/>
        <v>127.38853503184714</v>
      </c>
      <c r="Q64">
        <f t="shared" si="2"/>
        <v>12.600000000000001</v>
      </c>
    </row>
    <row r="65" spans="8:17" x14ac:dyDescent="0.15">
      <c r="H65">
        <v>64</v>
      </c>
      <c r="I65" t="s">
        <v>78</v>
      </c>
      <c r="J65">
        <v>1570</v>
      </c>
      <c r="K65">
        <v>144408</v>
      </c>
      <c r="O65">
        <f t="shared" si="0"/>
        <v>20.010127388535029</v>
      </c>
      <c r="P65">
        <f t="shared" si="1"/>
        <v>127.38853503184714</v>
      </c>
      <c r="Q65">
        <f t="shared" si="2"/>
        <v>12.8</v>
      </c>
    </row>
    <row r="66" spans="8:17" x14ac:dyDescent="0.15">
      <c r="H66">
        <v>65</v>
      </c>
      <c r="I66" t="s">
        <v>78</v>
      </c>
      <c r="J66">
        <v>1570</v>
      </c>
      <c r="K66">
        <v>145978</v>
      </c>
      <c r="O66">
        <f t="shared" si="0"/>
        <v>20.010127388535029</v>
      </c>
      <c r="P66">
        <f t="shared" si="1"/>
        <v>127.38853503184714</v>
      </c>
      <c r="Q66">
        <f t="shared" si="2"/>
        <v>13</v>
      </c>
    </row>
    <row r="67" spans="8:17" x14ac:dyDescent="0.15">
      <c r="H67">
        <v>66</v>
      </c>
      <c r="I67" t="s">
        <v>78</v>
      </c>
      <c r="J67">
        <v>1570</v>
      </c>
      <c r="K67">
        <v>147548</v>
      </c>
      <c r="O67">
        <f t="shared" ref="O67:O130" si="3">$C$11/(J67/$C$7)</f>
        <v>20.010127388535029</v>
      </c>
      <c r="P67">
        <f t="shared" ref="P67:P130" si="4">$C$10/(J67/$C$7)</f>
        <v>127.38853503184714</v>
      </c>
      <c r="Q67">
        <f t="shared" ref="Q67:Q130" si="5">H67*$C$10</f>
        <v>13.200000000000001</v>
      </c>
    </row>
    <row r="68" spans="8:17" x14ac:dyDescent="0.15">
      <c r="H68">
        <v>67</v>
      </c>
      <c r="I68" t="s">
        <v>78</v>
      </c>
      <c r="J68">
        <v>1570</v>
      </c>
      <c r="K68">
        <v>149118</v>
      </c>
      <c r="O68">
        <f t="shared" si="3"/>
        <v>20.010127388535029</v>
      </c>
      <c r="P68">
        <f t="shared" si="4"/>
        <v>127.38853503184714</v>
      </c>
      <c r="Q68">
        <f t="shared" si="5"/>
        <v>13.4</v>
      </c>
    </row>
    <row r="69" spans="8:17" x14ac:dyDescent="0.15">
      <c r="H69">
        <v>68</v>
      </c>
      <c r="I69" t="s">
        <v>78</v>
      </c>
      <c r="J69">
        <v>1570</v>
      </c>
      <c r="K69">
        <v>150688</v>
      </c>
      <c r="O69">
        <f t="shared" si="3"/>
        <v>20.010127388535029</v>
      </c>
      <c r="P69">
        <f t="shared" si="4"/>
        <v>127.38853503184714</v>
      </c>
      <c r="Q69">
        <f t="shared" si="5"/>
        <v>13.600000000000001</v>
      </c>
    </row>
    <row r="70" spans="8:17" x14ac:dyDescent="0.15">
      <c r="H70">
        <v>69</v>
      </c>
      <c r="I70" t="s">
        <v>78</v>
      </c>
      <c r="J70">
        <v>1570</v>
      </c>
      <c r="K70">
        <v>152258</v>
      </c>
      <c r="O70">
        <f t="shared" si="3"/>
        <v>20.010127388535029</v>
      </c>
      <c r="P70">
        <f t="shared" si="4"/>
        <v>127.38853503184714</v>
      </c>
      <c r="Q70">
        <f t="shared" si="5"/>
        <v>13.8</v>
      </c>
    </row>
    <row r="71" spans="8:17" x14ac:dyDescent="0.15">
      <c r="H71">
        <v>70</v>
      </c>
      <c r="I71" t="s">
        <v>78</v>
      </c>
      <c r="J71">
        <v>1570</v>
      </c>
      <c r="K71">
        <v>153828</v>
      </c>
      <c r="O71">
        <f t="shared" si="3"/>
        <v>20.010127388535029</v>
      </c>
      <c r="P71">
        <f t="shared" si="4"/>
        <v>127.38853503184714</v>
      </c>
      <c r="Q71">
        <f t="shared" si="5"/>
        <v>14</v>
      </c>
    </row>
    <row r="72" spans="8:17" x14ac:dyDescent="0.15">
      <c r="H72">
        <v>71</v>
      </c>
      <c r="I72" t="s">
        <v>78</v>
      </c>
      <c r="J72">
        <v>1570</v>
      </c>
      <c r="K72">
        <v>155398</v>
      </c>
      <c r="O72">
        <f t="shared" si="3"/>
        <v>20.010127388535029</v>
      </c>
      <c r="P72">
        <f t="shared" si="4"/>
        <v>127.38853503184714</v>
      </c>
      <c r="Q72">
        <f t="shared" si="5"/>
        <v>14.200000000000001</v>
      </c>
    </row>
    <row r="73" spans="8:17" x14ac:dyDescent="0.15">
      <c r="H73">
        <v>72</v>
      </c>
      <c r="I73" t="s">
        <v>78</v>
      </c>
      <c r="J73">
        <v>1570</v>
      </c>
      <c r="K73">
        <v>156968</v>
      </c>
      <c r="O73">
        <f t="shared" si="3"/>
        <v>20.010127388535029</v>
      </c>
      <c r="P73">
        <f t="shared" si="4"/>
        <v>127.38853503184714</v>
      </c>
      <c r="Q73">
        <f t="shared" si="5"/>
        <v>14.4</v>
      </c>
    </row>
    <row r="74" spans="8:17" x14ac:dyDescent="0.15">
      <c r="H74">
        <v>73</v>
      </c>
      <c r="I74" t="s">
        <v>78</v>
      </c>
      <c r="J74">
        <v>1570</v>
      </c>
      <c r="K74">
        <v>158538</v>
      </c>
      <c r="O74">
        <f t="shared" si="3"/>
        <v>20.010127388535029</v>
      </c>
      <c r="P74">
        <f t="shared" si="4"/>
        <v>127.38853503184714</v>
      </c>
      <c r="Q74">
        <f t="shared" si="5"/>
        <v>14.600000000000001</v>
      </c>
    </row>
    <row r="75" spans="8:17" x14ac:dyDescent="0.15">
      <c r="H75">
        <v>74</v>
      </c>
      <c r="I75" t="s">
        <v>78</v>
      </c>
      <c r="J75">
        <v>1570</v>
      </c>
      <c r="K75">
        <v>160108</v>
      </c>
      <c r="O75">
        <f t="shared" si="3"/>
        <v>20.010127388535029</v>
      </c>
      <c r="P75">
        <f t="shared" si="4"/>
        <v>127.38853503184714</v>
      </c>
      <c r="Q75">
        <f t="shared" si="5"/>
        <v>14.8</v>
      </c>
    </row>
    <row r="76" spans="8:17" x14ac:dyDescent="0.15">
      <c r="H76">
        <v>75</v>
      </c>
      <c r="I76" t="s">
        <v>78</v>
      </c>
      <c r="J76">
        <v>1570</v>
      </c>
      <c r="K76">
        <v>161678</v>
      </c>
      <c r="O76">
        <f t="shared" si="3"/>
        <v>20.010127388535029</v>
      </c>
      <c r="P76">
        <f t="shared" si="4"/>
        <v>127.38853503184714</v>
      </c>
      <c r="Q76">
        <f t="shared" si="5"/>
        <v>15</v>
      </c>
    </row>
    <row r="77" spans="8:17" x14ac:dyDescent="0.15">
      <c r="H77">
        <v>76</v>
      </c>
      <c r="I77" t="s">
        <v>78</v>
      </c>
      <c r="J77">
        <v>1570</v>
      </c>
      <c r="K77">
        <v>163248</v>
      </c>
      <c r="O77">
        <f t="shared" si="3"/>
        <v>20.010127388535029</v>
      </c>
      <c r="P77">
        <f t="shared" si="4"/>
        <v>127.38853503184714</v>
      </c>
      <c r="Q77">
        <f t="shared" si="5"/>
        <v>15.200000000000001</v>
      </c>
    </row>
    <row r="78" spans="8:17" x14ac:dyDescent="0.15">
      <c r="H78">
        <v>77</v>
      </c>
      <c r="I78" t="s">
        <v>78</v>
      </c>
      <c r="J78">
        <v>1570</v>
      </c>
      <c r="K78">
        <v>164818</v>
      </c>
      <c r="O78">
        <f t="shared" si="3"/>
        <v>20.010127388535029</v>
      </c>
      <c r="P78">
        <f t="shared" si="4"/>
        <v>127.38853503184714</v>
      </c>
      <c r="Q78">
        <f t="shared" si="5"/>
        <v>15.4</v>
      </c>
    </row>
    <row r="79" spans="8:17" x14ac:dyDescent="0.15">
      <c r="H79">
        <v>78</v>
      </c>
      <c r="I79" t="s">
        <v>78</v>
      </c>
      <c r="J79">
        <v>1570</v>
      </c>
      <c r="K79">
        <v>166388</v>
      </c>
      <c r="O79">
        <f t="shared" si="3"/>
        <v>20.010127388535029</v>
      </c>
      <c r="P79">
        <f t="shared" si="4"/>
        <v>127.38853503184714</v>
      </c>
      <c r="Q79">
        <f t="shared" si="5"/>
        <v>15.600000000000001</v>
      </c>
    </row>
    <row r="80" spans="8:17" x14ac:dyDescent="0.15">
      <c r="H80">
        <v>79</v>
      </c>
      <c r="I80" t="s">
        <v>78</v>
      </c>
      <c r="J80">
        <v>1570</v>
      </c>
      <c r="K80">
        <v>167958</v>
      </c>
      <c r="O80">
        <f t="shared" si="3"/>
        <v>20.010127388535029</v>
      </c>
      <c r="P80">
        <f t="shared" si="4"/>
        <v>127.38853503184714</v>
      </c>
      <c r="Q80">
        <f t="shared" si="5"/>
        <v>15.8</v>
      </c>
    </row>
    <row r="81" spans="8:17" x14ac:dyDescent="0.15">
      <c r="H81">
        <v>80</v>
      </c>
      <c r="I81" t="s">
        <v>78</v>
      </c>
      <c r="J81">
        <v>1570</v>
      </c>
      <c r="K81">
        <v>169528</v>
      </c>
      <c r="O81">
        <f t="shared" si="3"/>
        <v>20.010127388535029</v>
      </c>
      <c r="P81">
        <f t="shared" si="4"/>
        <v>127.38853503184714</v>
      </c>
      <c r="Q81">
        <f t="shared" si="5"/>
        <v>16</v>
      </c>
    </row>
    <row r="82" spans="8:17" x14ac:dyDescent="0.15">
      <c r="H82">
        <v>81</v>
      </c>
      <c r="I82" t="s">
        <v>78</v>
      </c>
      <c r="J82">
        <v>1570</v>
      </c>
      <c r="K82">
        <v>171098</v>
      </c>
      <c r="O82">
        <f t="shared" si="3"/>
        <v>20.010127388535029</v>
      </c>
      <c r="P82">
        <f t="shared" si="4"/>
        <v>127.38853503184714</v>
      </c>
      <c r="Q82">
        <f t="shared" si="5"/>
        <v>16.2</v>
      </c>
    </row>
    <row r="83" spans="8:17" x14ac:dyDescent="0.15">
      <c r="H83">
        <v>82</v>
      </c>
      <c r="I83" t="s">
        <v>78</v>
      </c>
      <c r="J83">
        <v>1570</v>
      </c>
      <c r="K83">
        <v>172668</v>
      </c>
      <c r="O83">
        <f t="shared" si="3"/>
        <v>20.010127388535029</v>
      </c>
      <c r="P83">
        <f t="shared" si="4"/>
        <v>127.38853503184714</v>
      </c>
      <c r="Q83">
        <f t="shared" si="5"/>
        <v>16.400000000000002</v>
      </c>
    </row>
    <row r="84" spans="8:17" x14ac:dyDescent="0.15">
      <c r="H84">
        <v>83</v>
      </c>
      <c r="I84" t="s">
        <v>78</v>
      </c>
      <c r="J84">
        <v>1570</v>
      </c>
      <c r="K84">
        <v>174238</v>
      </c>
      <c r="O84">
        <f t="shared" si="3"/>
        <v>20.010127388535029</v>
      </c>
      <c r="P84">
        <f t="shared" si="4"/>
        <v>127.38853503184714</v>
      </c>
      <c r="Q84">
        <f t="shared" si="5"/>
        <v>16.600000000000001</v>
      </c>
    </row>
    <row r="85" spans="8:17" x14ac:dyDescent="0.15">
      <c r="H85">
        <v>84</v>
      </c>
      <c r="I85" t="s">
        <v>78</v>
      </c>
      <c r="J85">
        <v>1570</v>
      </c>
      <c r="K85">
        <v>175808</v>
      </c>
      <c r="O85">
        <f t="shared" si="3"/>
        <v>20.010127388535029</v>
      </c>
      <c r="P85">
        <f t="shared" si="4"/>
        <v>127.38853503184714</v>
      </c>
      <c r="Q85">
        <f t="shared" si="5"/>
        <v>16.8</v>
      </c>
    </row>
    <row r="86" spans="8:17" x14ac:dyDescent="0.15">
      <c r="H86">
        <v>85</v>
      </c>
      <c r="I86" t="s">
        <v>78</v>
      </c>
      <c r="J86">
        <v>1570</v>
      </c>
      <c r="K86">
        <v>177378</v>
      </c>
      <c r="O86">
        <f t="shared" si="3"/>
        <v>20.010127388535029</v>
      </c>
      <c r="P86">
        <f t="shared" si="4"/>
        <v>127.38853503184714</v>
      </c>
      <c r="Q86">
        <f t="shared" si="5"/>
        <v>17</v>
      </c>
    </row>
    <row r="87" spans="8:17" x14ac:dyDescent="0.15">
      <c r="H87">
        <v>86</v>
      </c>
      <c r="I87" t="s">
        <v>78</v>
      </c>
      <c r="J87">
        <v>1570</v>
      </c>
      <c r="K87">
        <v>178948</v>
      </c>
      <c r="O87">
        <f t="shared" si="3"/>
        <v>20.010127388535029</v>
      </c>
      <c r="P87">
        <f t="shared" si="4"/>
        <v>127.38853503184714</v>
      </c>
      <c r="Q87">
        <f t="shared" si="5"/>
        <v>17.2</v>
      </c>
    </row>
    <row r="88" spans="8:17" x14ac:dyDescent="0.15">
      <c r="H88">
        <v>87</v>
      </c>
      <c r="I88" t="s">
        <v>78</v>
      </c>
      <c r="J88">
        <v>1570</v>
      </c>
      <c r="K88">
        <v>180518</v>
      </c>
      <c r="O88">
        <f t="shared" si="3"/>
        <v>20.010127388535029</v>
      </c>
      <c r="P88">
        <f t="shared" si="4"/>
        <v>127.38853503184714</v>
      </c>
      <c r="Q88">
        <f t="shared" si="5"/>
        <v>17.400000000000002</v>
      </c>
    </row>
    <row r="89" spans="8:17" x14ac:dyDescent="0.15">
      <c r="H89">
        <v>88</v>
      </c>
      <c r="I89" t="s">
        <v>78</v>
      </c>
      <c r="J89">
        <v>1570</v>
      </c>
      <c r="K89">
        <v>182088</v>
      </c>
      <c r="O89">
        <f t="shared" si="3"/>
        <v>20.010127388535029</v>
      </c>
      <c r="P89">
        <f t="shared" si="4"/>
        <v>127.38853503184714</v>
      </c>
      <c r="Q89">
        <f t="shared" si="5"/>
        <v>17.600000000000001</v>
      </c>
    </row>
    <row r="90" spans="8:17" x14ac:dyDescent="0.15">
      <c r="H90">
        <v>89</v>
      </c>
      <c r="I90" t="s">
        <v>78</v>
      </c>
      <c r="J90">
        <v>1570</v>
      </c>
      <c r="K90">
        <v>183658</v>
      </c>
      <c r="O90">
        <f t="shared" si="3"/>
        <v>20.010127388535029</v>
      </c>
      <c r="P90">
        <f t="shared" si="4"/>
        <v>127.38853503184714</v>
      </c>
      <c r="Q90">
        <f t="shared" si="5"/>
        <v>17.8</v>
      </c>
    </row>
    <row r="91" spans="8:17" x14ac:dyDescent="0.15">
      <c r="H91">
        <v>90</v>
      </c>
      <c r="I91" t="s">
        <v>78</v>
      </c>
      <c r="J91">
        <v>1570</v>
      </c>
      <c r="K91">
        <v>185228</v>
      </c>
      <c r="O91">
        <f t="shared" si="3"/>
        <v>20.010127388535029</v>
      </c>
      <c r="P91">
        <f t="shared" si="4"/>
        <v>127.38853503184714</v>
      </c>
      <c r="Q91">
        <f t="shared" si="5"/>
        <v>18</v>
      </c>
    </row>
    <row r="92" spans="8:17" x14ac:dyDescent="0.15">
      <c r="H92">
        <v>91</v>
      </c>
      <c r="I92" t="s">
        <v>79</v>
      </c>
      <c r="J92">
        <v>1570</v>
      </c>
      <c r="K92">
        <v>186798</v>
      </c>
      <c r="O92">
        <f t="shared" si="3"/>
        <v>20.010127388535029</v>
      </c>
      <c r="P92">
        <f t="shared" si="4"/>
        <v>127.38853503184714</v>
      </c>
      <c r="Q92">
        <f t="shared" si="5"/>
        <v>18.2</v>
      </c>
    </row>
    <row r="93" spans="8:17" x14ac:dyDescent="0.15">
      <c r="H93">
        <v>92</v>
      </c>
      <c r="I93" t="s">
        <v>78</v>
      </c>
      <c r="J93">
        <v>1570</v>
      </c>
      <c r="K93">
        <v>188368</v>
      </c>
      <c r="O93">
        <f t="shared" si="3"/>
        <v>20.010127388535029</v>
      </c>
      <c r="P93">
        <f t="shared" si="4"/>
        <v>127.38853503184714</v>
      </c>
      <c r="Q93">
        <f t="shared" si="5"/>
        <v>18.400000000000002</v>
      </c>
    </row>
    <row r="94" spans="8:17" x14ac:dyDescent="0.15">
      <c r="H94">
        <v>93</v>
      </c>
      <c r="I94" t="s">
        <v>78</v>
      </c>
      <c r="J94">
        <v>1570</v>
      </c>
      <c r="K94">
        <v>189938</v>
      </c>
      <c r="O94">
        <f t="shared" si="3"/>
        <v>20.010127388535029</v>
      </c>
      <c r="P94">
        <f t="shared" si="4"/>
        <v>127.38853503184714</v>
      </c>
      <c r="Q94">
        <f t="shared" si="5"/>
        <v>18.600000000000001</v>
      </c>
    </row>
    <row r="95" spans="8:17" x14ac:dyDescent="0.15">
      <c r="H95">
        <v>94</v>
      </c>
      <c r="I95" t="s">
        <v>78</v>
      </c>
      <c r="J95">
        <v>1570</v>
      </c>
      <c r="K95">
        <v>191508</v>
      </c>
      <c r="O95">
        <f t="shared" si="3"/>
        <v>20.010127388535029</v>
      </c>
      <c r="P95">
        <f t="shared" si="4"/>
        <v>127.38853503184714</v>
      </c>
      <c r="Q95">
        <f t="shared" si="5"/>
        <v>18.8</v>
      </c>
    </row>
    <row r="96" spans="8:17" x14ac:dyDescent="0.15">
      <c r="H96">
        <v>95</v>
      </c>
      <c r="I96" t="s">
        <v>78</v>
      </c>
      <c r="J96">
        <v>1570</v>
      </c>
      <c r="K96">
        <v>193078</v>
      </c>
      <c r="O96">
        <f t="shared" si="3"/>
        <v>20.010127388535029</v>
      </c>
      <c r="P96">
        <f t="shared" si="4"/>
        <v>127.38853503184714</v>
      </c>
      <c r="Q96">
        <f t="shared" si="5"/>
        <v>19</v>
      </c>
    </row>
    <row r="97" spans="8:17" x14ac:dyDescent="0.15">
      <c r="H97">
        <v>96</v>
      </c>
      <c r="I97" t="s">
        <v>78</v>
      </c>
      <c r="J97">
        <v>1570</v>
      </c>
      <c r="K97">
        <v>194648</v>
      </c>
      <c r="O97">
        <f t="shared" si="3"/>
        <v>20.010127388535029</v>
      </c>
      <c r="P97">
        <f t="shared" si="4"/>
        <v>127.38853503184714</v>
      </c>
      <c r="Q97">
        <f t="shared" si="5"/>
        <v>19.200000000000003</v>
      </c>
    </row>
    <row r="98" spans="8:17" x14ac:dyDescent="0.15">
      <c r="H98">
        <v>97</v>
      </c>
      <c r="I98" t="s">
        <v>78</v>
      </c>
      <c r="J98">
        <v>1570</v>
      </c>
      <c r="K98">
        <v>196218</v>
      </c>
      <c r="O98">
        <f t="shared" si="3"/>
        <v>20.010127388535029</v>
      </c>
      <c r="P98">
        <f t="shared" si="4"/>
        <v>127.38853503184714</v>
      </c>
      <c r="Q98">
        <f t="shared" si="5"/>
        <v>19.400000000000002</v>
      </c>
    </row>
    <row r="99" spans="8:17" x14ac:dyDescent="0.15">
      <c r="H99">
        <v>98</v>
      </c>
      <c r="I99" t="s">
        <v>78</v>
      </c>
      <c r="J99">
        <v>1570</v>
      </c>
      <c r="K99">
        <v>197788</v>
      </c>
      <c r="O99">
        <f t="shared" si="3"/>
        <v>20.010127388535029</v>
      </c>
      <c r="P99">
        <f t="shared" si="4"/>
        <v>127.38853503184714</v>
      </c>
      <c r="Q99">
        <f t="shared" si="5"/>
        <v>19.600000000000001</v>
      </c>
    </row>
    <row r="100" spans="8:17" x14ac:dyDescent="0.15">
      <c r="H100">
        <v>99</v>
      </c>
      <c r="I100" t="s">
        <v>78</v>
      </c>
      <c r="J100">
        <v>1570</v>
      </c>
      <c r="K100">
        <v>199358</v>
      </c>
      <c r="O100">
        <f t="shared" si="3"/>
        <v>20.010127388535029</v>
      </c>
      <c r="P100">
        <f t="shared" si="4"/>
        <v>127.38853503184714</v>
      </c>
      <c r="Q100">
        <f t="shared" si="5"/>
        <v>19.8</v>
      </c>
    </row>
    <row r="101" spans="8:17" x14ac:dyDescent="0.15">
      <c r="H101">
        <v>100</v>
      </c>
      <c r="I101" t="s">
        <v>78</v>
      </c>
      <c r="J101">
        <v>1570</v>
      </c>
      <c r="K101">
        <v>200928</v>
      </c>
      <c r="O101">
        <f t="shared" si="3"/>
        <v>20.010127388535029</v>
      </c>
      <c r="P101">
        <f t="shared" si="4"/>
        <v>127.38853503184714</v>
      </c>
      <c r="Q101">
        <f t="shared" si="5"/>
        <v>20</v>
      </c>
    </row>
    <row r="102" spans="8:17" x14ac:dyDescent="0.15">
      <c r="H102">
        <v>101</v>
      </c>
      <c r="I102" t="s">
        <v>78</v>
      </c>
      <c r="J102">
        <v>1570</v>
      </c>
      <c r="K102">
        <v>202498</v>
      </c>
      <c r="O102">
        <f t="shared" si="3"/>
        <v>20.010127388535029</v>
      </c>
      <c r="P102">
        <f t="shared" si="4"/>
        <v>127.38853503184714</v>
      </c>
      <c r="Q102">
        <f t="shared" si="5"/>
        <v>20.200000000000003</v>
      </c>
    </row>
    <row r="103" spans="8:17" x14ac:dyDescent="0.15">
      <c r="H103">
        <v>102</v>
      </c>
      <c r="I103" t="s">
        <v>78</v>
      </c>
      <c r="J103">
        <v>1570</v>
      </c>
      <c r="K103">
        <v>204068</v>
      </c>
      <c r="O103">
        <f t="shared" si="3"/>
        <v>20.010127388535029</v>
      </c>
      <c r="P103">
        <f t="shared" si="4"/>
        <v>127.38853503184714</v>
      </c>
      <c r="Q103">
        <f t="shared" si="5"/>
        <v>20.400000000000002</v>
      </c>
    </row>
    <row r="104" spans="8:17" x14ac:dyDescent="0.15">
      <c r="H104">
        <v>103</v>
      </c>
      <c r="I104" t="s">
        <v>78</v>
      </c>
      <c r="J104">
        <v>1570</v>
      </c>
      <c r="K104">
        <v>205638</v>
      </c>
      <c r="O104">
        <f t="shared" si="3"/>
        <v>20.010127388535029</v>
      </c>
      <c r="P104">
        <f t="shared" si="4"/>
        <v>127.38853503184714</v>
      </c>
      <c r="Q104">
        <f t="shared" si="5"/>
        <v>20.6</v>
      </c>
    </row>
    <row r="105" spans="8:17" x14ac:dyDescent="0.15">
      <c r="H105">
        <v>104</v>
      </c>
      <c r="I105" t="s">
        <v>78</v>
      </c>
      <c r="J105">
        <v>1570</v>
      </c>
      <c r="K105">
        <v>207208</v>
      </c>
      <c r="O105">
        <f t="shared" si="3"/>
        <v>20.010127388535029</v>
      </c>
      <c r="P105">
        <f t="shared" si="4"/>
        <v>127.38853503184714</v>
      </c>
      <c r="Q105">
        <f t="shared" si="5"/>
        <v>20.8</v>
      </c>
    </row>
    <row r="106" spans="8:17" x14ac:dyDescent="0.15">
      <c r="H106">
        <v>105</v>
      </c>
      <c r="I106" t="s">
        <v>78</v>
      </c>
      <c r="J106">
        <v>1570</v>
      </c>
      <c r="K106">
        <v>208778</v>
      </c>
      <c r="O106">
        <f t="shared" si="3"/>
        <v>20.010127388535029</v>
      </c>
      <c r="P106">
        <f t="shared" si="4"/>
        <v>127.38853503184714</v>
      </c>
      <c r="Q106">
        <f t="shared" si="5"/>
        <v>21</v>
      </c>
    </row>
    <row r="107" spans="8:17" x14ac:dyDescent="0.15">
      <c r="H107">
        <v>106</v>
      </c>
      <c r="I107" t="s">
        <v>78</v>
      </c>
      <c r="J107">
        <v>1570</v>
      </c>
      <c r="K107">
        <v>210348</v>
      </c>
      <c r="O107">
        <f t="shared" si="3"/>
        <v>20.010127388535029</v>
      </c>
      <c r="P107">
        <f t="shared" si="4"/>
        <v>127.38853503184714</v>
      </c>
      <c r="Q107">
        <f t="shared" si="5"/>
        <v>21.200000000000003</v>
      </c>
    </row>
    <row r="108" spans="8:17" x14ac:dyDescent="0.15">
      <c r="H108">
        <v>107</v>
      </c>
      <c r="I108" t="s">
        <v>78</v>
      </c>
      <c r="J108">
        <v>1570</v>
      </c>
      <c r="K108">
        <v>211918</v>
      </c>
      <c r="O108">
        <f t="shared" si="3"/>
        <v>20.010127388535029</v>
      </c>
      <c r="P108">
        <f t="shared" si="4"/>
        <v>127.38853503184714</v>
      </c>
      <c r="Q108">
        <f t="shared" si="5"/>
        <v>21.400000000000002</v>
      </c>
    </row>
    <row r="109" spans="8:17" x14ac:dyDescent="0.15">
      <c r="H109">
        <v>108</v>
      </c>
      <c r="I109" t="s">
        <v>78</v>
      </c>
      <c r="J109">
        <v>1570</v>
      </c>
      <c r="K109">
        <v>213488</v>
      </c>
      <c r="O109">
        <f t="shared" si="3"/>
        <v>20.010127388535029</v>
      </c>
      <c r="P109">
        <f t="shared" si="4"/>
        <v>127.38853503184714</v>
      </c>
      <c r="Q109">
        <f t="shared" si="5"/>
        <v>21.6</v>
      </c>
    </row>
    <row r="110" spans="8:17" x14ac:dyDescent="0.15">
      <c r="H110">
        <v>109</v>
      </c>
      <c r="I110" t="s">
        <v>78</v>
      </c>
      <c r="J110">
        <v>1570</v>
      </c>
      <c r="K110">
        <v>215058</v>
      </c>
      <c r="O110">
        <f t="shared" si="3"/>
        <v>20.010127388535029</v>
      </c>
      <c r="P110">
        <f t="shared" si="4"/>
        <v>127.38853503184714</v>
      </c>
      <c r="Q110">
        <f t="shared" si="5"/>
        <v>21.8</v>
      </c>
    </row>
    <row r="111" spans="8:17" x14ac:dyDescent="0.15">
      <c r="H111">
        <v>110</v>
      </c>
      <c r="I111" t="s">
        <v>78</v>
      </c>
      <c r="J111">
        <v>1570</v>
      </c>
      <c r="K111">
        <v>216628</v>
      </c>
      <c r="O111">
        <f t="shared" si="3"/>
        <v>20.010127388535029</v>
      </c>
      <c r="P111">
        <f t="shared" si="4"/>
        <v>127.38853503184714</v>
      </c>
      <c r="Q111">
        <f t="shared" si="5"/>
        <v>22</v>
      </c>
    </row>
    <row r="112" spans="8:17" x14ac:dyDescent="0.15">
      <c r="H112">
        <v>111</v>
      </c>
      <c r="I112" t="s">
        <v>78</v>
      </c>
      <c r="J112">
        <v>1570</v>
      </c>
      <c r="K112">
        <v>218198</v>
      </c>
      <c r="O112">
        <f t="shared" si="3"/>
        <v>20.010127388535029</v>
      </c>
      <c r="P112">
        <f t="shared" si="4"/>
        <v>127.38853503184714</v>
      </c>
      <c r="Q112">
        <f t="shared" si="5"/>
        <v>22.200000000000003</v>
      </c>
    </row>
    <row r="113" spans="8:17" x14ac:dyDescent="0.15">
      <c r="H113">
        <v>112</v>
      </c>
      <c r="I113" t="s">
        <v>78</v>
      </c>
      <c r="J113">
        <v>1570</v>
      </c>
      <c r="K113">
        <v>219768</v>
      </c>
      <c r="O113">
        <f t="shared" si="3"/>
        <v>20.010127388535029</v>
      </c>
      <c r="P113">
        <f t="shared" si="4"/>
        <v>127.38853503184714</v>
      </c>
      <c r="Q113">
        <f t="shared" si="5"/>
        <v>22.400000000000002</v>
      </c>
    </row>
    <row r="114" spans="8:17" x14ac:dyDescent="0.15">
      <c r="H114">
        <v>113</v>
      </c>
      <c r="I114" t="s">
        <v>78</v>
      </c>
      <c r="J114">
        <v>1570</v>
      </c>
      <c r="K114">
        <v>221338</v>
      </c>
      <c r="O114">
        <f t="shared" si="3"/>
        <v>20.010127388535029</v>
      </c>
      <c r="P114">
        <f t="shared" si="4"/>
        <v>127.38853503184714</v>
      </c>
      <c r="Q114">
        <f t="shared" si="5"/>
        <v>22.6</v>
      </c>
    </row>
    <row r="115" spans="8:17" x14ac:dyDescent="0.15">
      <c r="H115">
        <v>114</v>
      </c>
      <c r="I115" t="s">
        <v>78</v>
      </c>
      <c r="J115">
        <v>1570</v>
      </c>
      <c r="K115">
        <v>222908</v>
      </c>
      <c r="O115">
        <f t="shared" si="3"/>
        <v>20.010127388535029</v>
      </c>
      <c r="P115">
        <f t="shared" si="4"/>
        <v>127.38853503184714</v>
      </c>
      <c r="Q115">
        <f t="shared" si="5"/>
        <v>22.8</v>
      </c>
    </row>
    <row r="116" spans="8:17" x14ac:dyDescent="0.15">
      <c r="H116">
        <v>115</v>
      </c>
      <c r="I116" t="s">
        <v>78</v>
      </c>
      <c r="J116">
        <v>1570</v>
      </c>
      <c r="K116">
        <v>224478</v>
      </c>
      <c r="O116">
        <f t="shared" si="3"/>
        <v>20.010127388535029</v>
      </c>
      <c r="P116">
        <f t="shared" si="4"/>
        <v>127.38853503184714</v>
      </c>
      <c r="Q116">
        <f t="shared" si="5"/>
        <v>23</v>
      </c>
    </row>
    <row r="117" spans="8:17" x14ac:dyDescent="0.15">
      <c r="H117">
        <v>116</v>
      </c>
      <c r="I117" t="s">
        <v>78</v>
      </c>
      <c r="J117">
        <v>1570</v>
      </c>
      <c r="K117">
        <v>226048</v>
      </c>
      <c r="O117">
        <f t="shared" si="3"/>
        <v>20.010127388535029</v>
      </c>
      <c r="P117">
        <f t="shared" si="4"/>
        <v>127.38853503184714</v>
      </c>
      <c r="Q117">
        <f t="shared" si="5"/>
        <v>23.200000000000003</v>
      </c>
    </row>
    <row r="118" spans="8:17" x14ac:dyDescent="0.15">
      <c r="H118">
        <v>117</v>
      </c>
      <c r="I118" t="s">
        <v>78</v>
      </c>
      <c r="J118">
        <v>1570</v>
      </c>
      <c r="K118">
        <v>227618</v>
      </c>
      <c r="O118">
        <f t="shared" si="3"/>
        <v>20.010127388535029</v>
      </c>
      <c r="P118">
        <f t="shared" si="4"/>
        <v>127.38853503184714</v>
      </c>
      <c r="Q118">
        <f t="shared" si="5"/>
        <v>23.400000000000002</v>
      </c>
    </row>
    <row r="119" spans="8:17" x14ac:dyDescent="0.15">
      <c r="H119">
        <v>118</v>
      </c>
      <c r="I119" t="s">
        <v>78</v>
      </c>
      <c r="J119">
        <v>1570</v>
      </c>
      <c r="K119">
        <v>229188</v>
      </c>
      <c r="O119">
        <f t="shared" si="3"/>
        <v>20.010127388535029</v>
      </c>
      <c r="P119">
        <f t="shared" si="4"/>
        <v>127.38853503184714</v>
      </c>
      <c r="Q119">
        <f t="shared" si="5"/>
        <v>23.6</v>
      </c>
    </row>
    <row r="120" spans="8:17" x14ac:dyDescent="0.15">
      <c r="H120">
        <v>119</v>
      </c>
      <c r="I120" t="s">
        <v>81</v>
      </c>
      <c r="J120">
        <v>1570</v>
      </c>
      <c r="K120">
        <v>230758</v>
      </c>
      <c r="O120">
        <f t="shared" si="3"/>
        <v>20.010127388535029</v>
      </c>
      <c r="P120">
        <f t="shared" si="4"/>
        <v>127.38853503184714</v>
      </c>
      <c r="Q120">
        <f t="shared" si="5"/>
        <v>23.8</v>
      </c>
    </row>
    <row r="121" spans="8:17" x14ac:dyDescent="0.15">
      <c r="H121">
        <v>120</v>
      </c>
      <c r="I121" t="s">
        <v>78</v>
      </c>
      <c r="J121">
        <v>1570</v>
      </c>
      <c r="K121">
        <v>232328</v>
      </c>
      <c r="O121">
        <f t="shared" si="3"/>
        <v>20.010127388535029</v>
      </c>
      <c r="P121">
        <f t="shared" si="4"/>
        <v>127.38853503184714</v>
      </c>
      <c r="Q121">
        <f t="shared" si="5"/>
        <v>24</v>
      </c>
    </row>
    <row r="122" spans="8:17" x14ac:dyDescent="0.15">
      <c r="H122">
        <v>121</v>
      </c>
      <c r="I122" t="s">
        <v>78</v>
      </c>
      <c r="J122">
        <v>1570</v>
      </c>
      <c r="K122">
        <v>233898</v>
      </c>
      <c r="O122">
        <f t="shared" si="3"/>
        <v>20.010127388535029</v>
      </c>
      <c r="P122">
        <f t="shared" si="4"/>
        <v>127.38853503184714</v>
      </c>
      <c r="Q122">
        <f t="shared" si="5"/>
        <v>24.200000000000003</v>
      </c>
    </row>
    <row r="123" spans="8:17" x14ac:dyDescent="0.15">
      <c r="H123">
        <v>122</v>
      </c>
      <c r="I123" t="s">
        <v>78</v>
      </c>
      <c r="J123">
        <v>1570</v>
      </c>
      <c r="K123">
        <v>235468</v>
      </c>
      <c r="O123">
        <f t="shared" si="3"/>
        <v>20.010127388535029</v>
      </c>
      <c r="P123">
        <f t="shared" si="4"/>
        <v>127.38853503184714</v>
      </c>
      <c r="Q123">
        <f t="shared" si="5"/>
        <v>24.400000000000002</v>
      </c>
    </row>
    <row r="124" spans="8:17" x14ac:dyDescent="0.15">
      <c r="H124">
        <v>123</v>
      </c>
      <c r="I124" t="s">
        <v>78</v>
      </c>
      <c r="J124">
        <v>1570</v>
      </c>
      <c r="K124">
        <v>237038</v>
      </c>
      <c r="O124">
        <f t="shared" si="3"/>
        <v>20.010127388535029</v>
      </c>
      <c r="P124">
        <f t="shared" si="4"/>
        <v>127.38853503184714</v>
      </c>
      <c r="Q124">
        <f t="shared" si="5"/>
        <v>24.6</v>
      </c>
    </row>
    <row r="125" spans="8:17" x14ac:dyDescent="0.15">
      <c r="H125">
        <v>124</v>
      </c>
      <c r="I125" t="s">
        <v>78</v>
      </c>
      <c r="J125">
        <v>1570</v>
      </c>
      <c r="K125">
        <v>238608</v>
      </c>
      <c r="O125">
        <f t="shared" si="3"/>
        <v>20.010127388535029</v>
      </c>
      <c r="P125">
        <f t="shared" si="4"/>
        <v>127.38853503184714</v>
      </c>
      <c r="Q125">
        <f t="shared" si="5"/>
        <v>24.8</v>
      </c>
    </row>
    <row r="126" spans="8:17" x14ac:dyDescent="0.15">
      <c r="H126">
        <v>125</v>
      </c>
      <c r="I126" t="s">
        <v>78</v>
      </c>
      <c r="J126">
        <v>1570</v>
      </c>
      <c r="K126">
        <v>240178</v>
      </c>
      <c r="O126">
        <f t="shared" si="3"/>
        <v>20.010127388535029</v>
      </c>
      <c r="P126">
        <f t="shared" si="4"/>
        <v>127.38853503184714</v>
      </c>
      <c r="Q126">
        <f t="shared" si="5"/>
        <v>25</v>
      </c>
    </row>
    <row r="127" spans="8:17" x14ac:dyDescent="0.15">
      <c r="H127">
        <v>126</v>
      </c>
      <c r="I127" t="s">
        <v>78</v>
      </c>
      <c r="J127">
        <v>1570</v>
      </c>
      <c r="K127">
        <v>241748</v>
      </c>
      <c r="O127">
        <f t="shared" si="3"/>
        <v>20.010127388535029</v>
      </c>
      <c r="P127">
        <f t="shared" si="4"/>
        <v>127.38853503184714</v>
      </c>
      <c r="Q127">
        <f t="shared" si="5"/>
        <v>25.200000000000003</v>
      </c>
    </row>
    <row r="128" spans="8:17" x14ac:dyDescent="0.15">
      <c r="H128">
        <v>127</v>
      </c>
      <c r="I128" t="s">
        <v>78</v>
      </c>
      <c r="J128">
        <v>1570</v>
      </c>
      <c r="K128">
        <v>243318</v>
      </c>
      <c r="O128">
        <f t="shared" si="3"/>
        <v>20.010127388535029</v>
      </c>
      <c r="P128">
        <f t="shared" si="4"/>
        <v>127.38853503184714</v>
      </c>
      <c r="Q128">
        <f t="shared" si="5"/>
        <v>25.400000000000002</v>
      </c>
    </row>
    <row r="129" spans="8:17" x14ac:dyDescent="0.15">
      <c r="H129">
        <v>128</v>
      </c>
      <c r="I129" t="s">
        <v>78</v>
      </c>
      <c r="J129">
        <v>1570</v>
      </c>
      <c r="K129">
        <v>244888</v>
      </c>
      <c r="O129">
        <f t="shared" si="3"/>
        <v>20.010127388535029</v>
      </c>
      <c r="P129">
        <f t="shared" si="4"/>
        <v>127.38853503184714</v>
      </c>
      <c r="Q129">
        <f t="shared" si="5"/>
        <v>25.6</v>
      </c>
    </row>
    <row r="130" spans="8:17" x14ac:dyDescent="0.15">
      <c r="H130">
        <v>129</v>
      </c>
      <c r="I130" t="s">
        <v>78</v>
      </c>
      <c r="J130">
        <v>1570</v>
      </c>
      <c r="K130">
        <v>246458</v>
      </c>
      <c r="O130">
        <f t="shared" si="3"/>
        <v>20.010127388535029</v>
      </c>
      <c r="P130">
        <f t="shared" si="4"/>
        <v>127.38853503184714</v>
      </c>
      <c r="Q130">
        <f t="shared" si="5"/>
        <v>25.8</v>
      </c>
    </row>
    <row r="131" spans="8:17" x14ac:dyDescent="0.15">
      <c r="H131">
        <v>130</v>
      </c>
      <c r="I131" t="s">
        <v>78</v>
      </c>
      <c r="J131">
        <v>1570</v>
      </c>
      <c r="K131">
        <v>248028</v>
      </c>
      <c r="O131">
        <f t="shared" ref="O131:O194" si="6">$C$11/(J131/$C$7)</f>
        <v>20.010127388535029</v>
      </c>
      <c r="P131">
        <f t="shared" ref="P131:P194" si="7">$C$10/(J131/$C$7)</f>
        <v>127.38853503184714</v>
      </c>
      <c r="Q131">
        <f t="shared" ref="Q131:Q194" si="8">H131*$C$10</f>
        <v>26</v>
      </c>
    </row>
    <row r="132" spans="8:17" x14ac:dyDescent="0.15">
      <c r="H132">
        <v>131</v>
      </c>
      <c r="I132" t="s">
        <v>78</v>
      </c>
      <c r="J132">
        <v>1570</v>
      </c>
      <c r="K132">
        <v>249598</v>
      </c>
      <c r="O132">
        <f t="shared" si="6"/>
        <v>20.010127388535029</v>
      </c>
      <c r="P132">
        <f t="shared" si="7"/>
        <v>127.38853503184714</v>
      </c>
      <c r="Q132">
        <f t="shared" si="8"/>
        <v>26.200000000000003</v>
      </c>
    </row>
    <row r="133" spans="8:17" x14ac:dyDescent="0.15">
      <c r="H133">
        <v>132</v>
      </c>
      <c r="I133" t="s">
        <v>78</v>
      </c>
      <c r="J133">
        <v>1570</v>
      </c>
      <c r="K133">
        <v>251168</v>
      </c>
      <c r="O133">
        <f t="shared" si="6"/>
        <v>20.010127388535029</v>
      </c>
      <c r="P133">
        <f t="shared" si="7"/>
        <v>127.38853503184714</v>
      </c>
      <c r="Q133">
        <f t="shared" si="8"/>
        <v>26.400000000000002</v>
      </c>
    </row>
    <row r="134" spans="8:17" x14ac:dyDescent="0.15">
      <c r="H134">
        <v>133</v>
      </c>
      <c r="I134" t="s">
        <v>82</v>
      </c>
      <c r="J134">
        <v>1570</v>
      </c>
      <c r="K134">
        <v>252738</v>
      </c>
      <c r="O134">
        <f t="shared" si="6"/>
        <v>20.010127388535029</v>
      </c>
      <c r="P134">
        <f t="shared" si="7"/>
        <v>127.38853503184714</v>
      </c>
      <c r="Q134">
        <f t="shared" si="8"/>
        <v>26.6</v>
      </c>
    </row>
    <row r="135" spans="8:17" x14ac:dyDescent="0.15">
      <c r="H135">
        <v>134</v>
      </c>
      <c r="I135" t="s">
        <v>78</v>
      </c>
      <c r="J135">
        <v>1570</v>
      </c>
      <c r="K135">
        <v>254308</v>
      </c>
      <c r="O135">
        <f t="shared" si="6"/>
        <v>20.010127388535029</v>
      </c>
      <c r="P135">
        <f t="shared" si="7"/>
        <v>127.38853503184714</v>
      </c>
      <c r="Q135">
        <f t="shared" si="8"/>
        <v>26.8</v>
      </c>
    </row>
    <row r="136" spans="8:17" x14ac:dyDescent="0.15">
      <c r="H136">
        <v>135</v>
      </c>
      <c r="I136" t="s">
        <v>78</v>
      </c>
      <c r="J136">
        <v>1570</v>
      </c>
      <c r="K136">
        <v>255878</v>
      </c>
      <c r="O136">
        <f t="shared" si="6"/>
        <v>20.010127388535029</v>
      </c>
      <c r="P136">
        <f t="shared" si="7"/>
        <v>127.38853503184714</v>
      </c>
      <c r="Q136">
        <f t="shared" si="8"/>
        <v>27</v>
      </c>
    </row>
    <row r="137" spans="8:17" x14ac:dyDescent="0.15">
      <c r="H137">
        <v>136</v>
      </c>
      <c r="I137" t="s">
        <v>78</v>
      </c>
      <c r="J137">
        <v>1570</v>
      </c>
      <c r="K137">
        <v>257448</v>
      </c>
      <c r="O137">
        <f t="shared" si="6"/>
        <v>20.010127388535029</v>
      </c>
      <c r="P137">
        <f t="shared" si="7"/>
        <v>127.38853503184714</v>
      </c>
      <c r="Q137">
        <f t="shared" si="8"/>
        <v>27.200000000000003</v>
      </c>
    </row>
    <row r="138" spans="8:17" x14ac:dyDescent="0.15">
      <c r="H138">
        <v>137</v>
      </c>
      <c r="I138" t="s">
        <v>78</v>
      </c>
      <c r="J138">
        <v>1570</v>
      </c>
      <c r="K138">
        <v>259018</v>
      </c>
      <c r="O138">
        <f t="shared" si="6"/>
        <v>20.010127388535029</v>
      </c>
      <c r="P138">
        <f t="shared" si="7"/>
        <v>127.38853503184714</v>
      </c>
      <c r="Q138">
        <f t="shared" si="8"/>
        <v>27.400000000000002</v>
      </c>
    </row>
    <row r="139" spans="8:17" x14ac:dyDescent="0.15">
      <c r="H139">
        <v>138</v>
      </c>
      <c r="I139" t="s">
        <v>78</v>
      </c>
      <c r="J139">
        <v>1570</v>
      </c>
      <c r="K139">
        <v>260588</v>
      </c>
      <c r="O139">
        <f t="shared" si="6"/>
        <v>20.010127388535029</v>
      </c>
      <c r="P139">
        <f t="shared" si="7"/>
        <v>127.38853503184714</v>
      </c>
      <c r="Q139">
        <f t="shared" si="8"/>
        <v>27.6</v>
      </c>
    </row>
    <row r="140" spans="8:17" x14ac:dyDescent="0.15">
      <c r="H140">
        <v>139</v>
      </c>
      <c r="I140" t="s">
        <v>78</v>
      </c>
      <c r="J140">
        <v>1570</v>
      </c>
      <c r="K140">
        <v>262158</v>
      </c>
      <c r="O140">
        <f t="shared" si="6"/>
        <v>20.010127388535029</v>
      </c>
      <c r="P140">
        <f t="shared" si="7"/>
        <v>127.38853503184714</v>
      </c>
      <c r="Q140">
        <f t="shared" si="8"/>
        <v>27.8</v>
      </c>
    </row>
    <row r="141" spans="8:17" x14ac:dyDescent="0.15">
      <c r="H141">
        <v>140</v>
      </c>
      <c r="I141" t="s">
        <v>78</v>
      </c>
      <c r="J141">
        <v>1570</v>
      </c>
      <c r="K141">
        <v>263728</v>
      </c>
      <c r="O141">
        <f t="shared" si="6"/>
        <v>20.010127388535029</v>
      </c>
      <c r="P141">
        <f t="shared" si="7"/>
        <v>127.38853503184714</v>
      </c>
      <c r="Q141">
        <f t="shared" si="8"/>
        <v>28</v>
      </c>
    </row>
    <row r="142" spans="8:17" x14ac:dyDescent="0.15">
      <c r="H142">
        <v>141</v>
      </c>
      <c r="I142" t="s">
        <v>78</v>
      </c>
      <c r="J142">
        <v>1570</v>
      </c>
      <c r="K142">
        <v>265298</v>
      </c>
      <c r="O142">
        <f t="shared" si="6"/>
        <v>20.010127388535029</v>
      </c>
      <c r="P142">
        <f t="shared" si="7"/>
        <v>127.38853503184714</v>
      </c>
      <c r="Q142">
        <f t="shared" si="8"/>
        <v>28.200000000000003</v>
      </c>
    </row>
    <row r="143" spans="8:17" x14ac:dyDescent="0.15">
      <c r="H143">
        <v>142</v>
      </c>
      <c r="I143" t="s">
        <v>78</v>
      </c>
      <c r="J143">
        <v>1570</v>
      </c>
      <c r="K143">
        <v>266868</v>
      </c>
      <c r="O143">
        <f t="shared" si="6"/>
        <v>20.010127388535029</v>
      </c>
      <c r="P143">
        <f t="shared" si="7"/>
        <v>127.38853503184714</v>
      </c>
      <c r="Q143">
        <f t="shared" si="8"/>
        <v>28.400000000000002</v>
      </c>
    </row>
    <row r="144" spans="8:17" x14ac:dyDescent="0.15">
      <c r="H144">
        <v>143</v>
      </c>
      <c r="I144" t="s">
        <v>78</v>
      </c>
      <c r="J144">
        <v>1570</v>
      </c>
      <c r="K144">
        <v>268438</v>
      </c>
      <c r="O144">
        <f t="shared" si="6"/>
        <v>20.010127388535029</v>
      </c>
      <c r="P144">
        <f t="shared" si="7"/>
        <v>127.38853503184714</v>
      </c>
      <c r="Q144">
        <f t="shared" si="8"/>
        <v>28.6</v>
      </c>
    </row>
    <row r="145" spans="8:17" x14ac:dyDescent="0.15">
      <c r="H145">
        <v>144</v>
      </c>
      <c r="I145" t="s">
        <v>78</v>
      </c>
      <c r="J145">
        <v>1570</v>
      </c>
      <c r="K145">
        <v>270008</v>
      </c>
      <c r="O145">
        <f t="shared" si="6"/>
        <v>20.010127388535029</v>
      </c>
      <c r="P145">
        <f t="shared" si="7"/>
        <v>127.38853503184714</v>
      </c>
      <c r="Q145">
        <f t="shared" si="8"/>
        <v>28.8</v>
      </c>
    </row>
    <row r="146" spans="8:17" x14ac:dyDescent="0.15">
      <c r="H146">
        <v>145</v>
      </c>
      <c r="I146" t="s">
        <v>78</v>
      </c>
      <c r="J146">
        <v>1570</v>
      </c>
      <c r="K146">
        <v>271578</v>
      </c>
      <c r="O146">
        <f t="shared" si="6"/>
        <v>20.010127388535029</v>
      </c>
      <c r="P146">
        <f t="shared" si="7"/>
        <v>127.38853503184714</v>
      </c>
      <c r="Q146">
        <f t="shared" si="8"/>
        <v>29</v>
      </c>
    </row>
    <row r="147" spans="8:17" x14ac:dyDescent="0.15">
      <c r="H147">
        <v>146</v>
      </c>
      <c r="I147" t="s">
        <v>78</v>
      </c>
      <c r="J147">
        <v>1570</v>
      </c>
      <c r="K147">
        <v>273148</v>
      </c>
      <c r="O147">
        <f t="shared" si="6"/>
        <v>20.010127388535029</v>
      </c>
      <c r="P147">
        <f t="shared" si="7"/>
        <v>127.38853503184714</v>
      </c>
      <c r="Q147">
        <f t="shared" si="8"/>
        <v>29.200000000000003</v>
      </c>
    </row>
    <row r="148" spans="8:17" x14ac:dyDescent="0.15">
      <c r="H148">
        <v>147</v>
      </c>
      <c r="I148" t="s">
        <v>78</v>
      </c>
      <c r="J148">
        <v>1570</v>
      </c>
      <c r="K148">
        <v>274718</v>
      </c>
      <c r="O148">
        <f t="shared" si="6"/>
        <v>20.010127388535029</v>
      </c>
      <c r="P148">
        <f t="shared" si="7"/>
        <v>127.38853503184714</v>
      </c>
      <c r="Q148">
        <f t="shared" si="8"/>
        <v>29.400000000000002</v>
      </c>
    </row>
    <row r="149" spans="8:17" x14ac:dyDescent="0.15">
      <c r="H149">
        <v>148</v>
      </c>
      <c r="I149" t="s">
        <v>78</v>
      </c>
      <c r="J149">
        <v>1570</v>
      </c>
      <c r="K149">
        <v>276288</v>
      </c>
      <c r="O149">
        <f t="shared" si="6"/>
        <v>20.010127388535029</v>
      </c>
      <c r="P149">
        <f t="shared" si="7"/>
        <v>127.38853503184714</v>
      </c>
      <c r="Q149">
        <f t="shared" si="8"/>
        <v>29.6</v>
      </c>
    </row>
    <row r="150" spans="8:17" x14ac:dyDescent="0.15">
      <c r="H150">
        <v>149</v>
      </c>
      <c r="I150" t="s">
        <v>78</v>
      </c>
      <c r="J150">
        <v>1570</v>
      </c>
      <c r="K150">
        <v>277858</v>
      </c>
      <c r="O150">
        <f t="shared" si="6"/>
        <v>20.010127388535029</v>
      </c>
      <c r="P150">
        <f t="shared" si="7"/>
        <v>127.38853503184714</v>
      </c>
      <c r="Q150">
        <f t="shared" si="8"/>
        <v>29.8</v>
      </c>
    </row>
    <row r="151" spans="8:17" x14ac:dyDescent="0.15">
      <c r="H151">
        <v>150</v>
      </c>
      <c r="I151" t="s">
        <v>78</v>
      </c>
      <c r="J151">
        <v>1570</v>
      </c>
      <c r="K151">
        <v>279428</v>
      </c>
      <c r="O151">
        <f t="shared" si="6"/>
        <v>20.010127388535029</v>
      </c>
      <c r="P151">
        <f t="shared" si="7"/>
        <v>127.38853503184714</v>
      </c>
      <c r="Q151">
        <f t="shared" si="8"/>
        <v>30</v>
      </c>
    </row>
    <row r="152" spans="8:17" x14ac:dyDescent="0.15">
      <c r="H152">
        <v>151</v>
      </c>
      <c r="I152" t="s">
        <v>78</v>
      </c>
      <c r="J152">
        <v>1570</v>
      </c>
      <c r="K152">
        <v>280998</v>
      </c>
      <c r="O152">
        <f t="shared" si="6"/>
        <v>20.010127388535029</v>
      </c>
      <c r="P152">
        <f t="shared" si="7"/>
        <v>127.38853503184714</v>
      </c>
      <c r="Q152">
        <f t="shared" si="8"/>
        <v>30.200000000000003</v>
      </c>
    </row>
    <row r="153" spans="8:17" x14ac:dyDescent="0.15">
      <c r="H153">
        <v>152</v>
      </c>
      <c r="I153" t="s">
        <v>78</v>
      </c>
      <c r="J153">
        <v>1570</v>
      </c>
      <c r="K153">
        <v>282568</v>
      </c>
      <c r="O153">
        <f t="shared" si="6"/>
        <v>20.010127388535029</v>
      </c>
      <c r="P153">
        <f t="shared" si="7"/>
        <v>127.38853503184714</v>
      </c>
      <c r="Q153">
        <f t="shared" si="8"/>
        <v>30.400000000000002</v>
      </c>
    </row>
    <row r="154" spans="8:17" x14ac:dyDescent="0.15">
      <c r="H154">
        <v>153</v>
      </c>
      <c r="I154" t="s">
        <v>78</v>
      </c>
      <c r="J154">
        <v>1570</v>
      </c>
      <c r="K154">
        <v>284138</v>
      </c>
      <c r="O154">
        <f t="shared" si="6"/>
        <v>20.010127388535029</v>
      </c>
      <c r="P154">
        <f t="shared" si="7"/>
        <v>127.38853503184714</v>
      </c>
      <c r="Q154">
        <f t="shared" si="8"/>
        <v>30.6</v>
      </c>
    </row>
    <row r="155" spans="8:17" x14ac:dyDescent="0.15">
      <c r="H155">
        <v>154</v>
      </c>
      <c r="I155" t="s">
        <v>78</v>
      </c>
      <c r="J155">
        <v>1570</v>
      </c>
      <c r="K155">
        <v>285708</v>
      </c>
      <c r="O155">
        <f t="shared" si="6"/>
        <v>20.010127388535029</v>
      </c>
      <c r="P155">
        <f t="shared" si="7"/>
        <v>127.38853503184714</v>
      </c>
      <c r="Q155">
        <f t="shared" si="8"/>
        <v>30.8</v>
      </c>
    </row>
    <row r="156" spans="8:17" x14ac:dyDescent="0.15">
      <c r="H156">
        <v>155</v>
      </c>
      <c r="I156" t="s">
        <v>78</v>
      </c>
      <c r="J156">
        <v>1570</v>
      </c>
      <c r="K156">
        <v>287278</v>
      </c>
      <c r="O156">
        <f t="shared" si="6"/>
        <v>20.010127388535029</v>
      </c>
      <c r="P156">
        <f t="shared" si="7"/>
        <v>127.38853503184714</v>
      </c>
      <c r="Q156">
        <f t="shared" si="8"/>
        <v>31</v>
      </c>
    </row>
    <row r="157" spans="8:17" x14ac:dyDescent="0.15">
      <c r="H157">
        <v>156</v>
      </c>
      <c r="I157" t="s">
        <v>78</v>
      </c>
      <c r="J157">
        <v>1570</v>
      </c>
      <c r="K157">
        <v>288848</v>
      </c>
      <c r="O157">
        <f t="shared" si="6"/>
        <v>20.010127388535029</v>
      </c>
      <c r="P157">
        <f t="shared" si="7"/>
        <v>127.38853503184714</v>
      </c>
      <c r="Q157">
        <f t="shared" si="8"/>
        <v>31.200000000000003</v>
      </c>
    </row>
    <row r="158" spans="8:17" x14ac:dyDescent="0.15">
      <c r="H158">
        <v>157</v>
      </c>
      <c r="I158" t="s">
        <v>78</v>
      </c>
      <c r="J158">
        <v>1570</v>
      </c>
      <c r="K158">
        <v>290418</v>
      </c>
      <c r="O158">
        <f t="shared" si="6"/>
        <v>20.010127388535029</v>
      </c>
      <c r="P158">
        <f t="shared" si="7"/>
        <v>127.38853503184714</v>
      </c>
      <c r="Q158">
        <f t="shared" si="8"/>
        <v>31.400000000000002</v>
      </c>
    </row>
    <row r="159" spans="8:17" x14ac:dyDescent="0.15">
      <c r="H159">
        <v>158</v>
      </c>
      <c r="I159" t="s">
        <v>78</v>
      </c>
      <c r="J159">
        <v>1570</v>
      </c>
      <c r="K159">
        <v>291988</v>
      </c>
      <c r="O159">
        <f t="shared" si="6"/>
        <v>20.010127388535029</v>
      </c>
      <c r="P159">
        <f t="shared" si="7"/>
        <v>127.38853503184714</v>
      </c>
      <c r="Q159">
        <f t="shared" si="8"/>
        <v>31.6</v>
      </c>
    </row>
    <row r="160" spans="8:17" x14ac:dyDescent="0.15">
      <c r="H160">
        <v>159</v>
      </c>
      <c r="I160" t="s">
        <v>78</v>
      </c>
      <c r="J160">
        <v>1570</v>
      </c>
      <c r="K160">
        <v>293558</v>
      </c>
      <c r="O160">
        <f t="shared" si="6"/>
        <v>20.010127388535029</v>
      </c>
      <c r="P160">
        <f t="shared" si="7"/>
        <v>127.38853503184714</v>
      </c>
      <c r="Q160">
        <f t="shared" si="8"/>
        <v>31.8</v>
      </c>
    </row>
    <row r="161" spans="8:17" x14ac:dyDescent="0.15">
      <c r="H161">
        <v>160</v>
      </c>
      <c r="I161" t="s">
        <v>78</v>
      </c>
      <c r="J161">
        <v>1570</v>
      </c>
      <c r="K161">
        <v>295128</v>
      </c>
      <c r="O161">
        <f t="shared" si="6"/>
        <v>20.010127388535029</v>
      </c>
      <c r="P161">
        <f t="shared" si="7"/>
        <v>127.38853503184714</v>
      </c>
      <c r="Q161">
        <f t="shared" si="8"/>
        <v>32</v>
      </c>
    </row>
    <row r="162" spans="8:17" x14ac:dyDescent="0.15">
      <c r="H162">
        <v>161</v>
      </c>
      <c r="I162" t="s">
        <v>78</v>
      </c>
      <c r="J162">
        <v>1570</v>
      </c>
      <c r="K162">
        <v>296698</v>
      </c>
      <c r="O162">
        <f t="shared" si="6"/>
        <v>20.010127388535029</v>
      </c>
      <c r="P162">
        <f t="shared" si="7"/>
        <v>127.38853503184714</v>
      </c>
      <c r="Q162">
        <f t="shared" si="8"/>
        <v>32.200000000000003</v>
      </c>
    </row>
    <row r="163" spans="8:17" x14ac:dyDescent="0.15">
      <c r="H163">
        <v>162</v>
      </c>
      <c r="I163" t="s">
        <v>78</v>
      </c>
      <c r="J163">
        <v>1570</v>
      </c>
      <c r="K163">
        <v>298268</v>
      </c>
      <c r="O163">
        <f t="shared" si="6"/>
        <v>20.010127388535029</v>
      </c>
      <c r="P163">
        <f t="shared" si="7"/>
        <v>127.38853503184714</v>
      </c>
      <c r="Q163">
        <f t="shared" si="8"/>
        <v>32.4</v>
      </c>
    </row>
    <row r="164" spans="8:17" x14ac:dyDescent="0.15">
      <c r="H164">
        <v>163</v>
      </c>
      <c r="I164" t="s">
        <v>78</v>
      </c>
      <c r="J164">
        <v>1570</v>
      </c>
      <c r="K164">
        <v>299838</v>
      </c>
      <c r="O164">
        <f t="shared" si="6"/>
        <v>20.010127388535029</v>
      </c>
      <c r="P164">
        <f t="shared" si="7"/>
        <v>127.38853503184714</v>
      </c>
      <c r="Q164">
        <f t="shared" si="8"/>
        <v>32.6</v>
      </c>
    </row>
    <row r="165" spans="8:17" x14ac:dyDescent="0.15">
      <c r="H165">
        <v>164</v>
      </c>
      <c r="I165" t="s">
        <v>78</v>
      </c>
      <c r="J165">
        <v>1570</v>
      </c>
      <c r="K165">
        <v>301408</v>
      </c>
      <c r="O165">
        <f t="shared" si="6"/>
        <v>20.010127388535029</v>
      </c>
      <c r="P165">
        <f t="shared" si="7"/>
        <v>127.38853503184714</v>
      </c>
      <c r="Q165">
        <f t="shared" si="8"/>
        <v>32.800000000000004</v>
      </c>
    </row>
    <row r="166" spans="8:17" x14ac:dyDescent="0.15">
      <c r="H166">
        <v>165</v>
      </c>
      <c r="I166" t="s">
        <v>79</v>
      </c>
      <c r="J166">
        <v>1570</v>
      </c>
      <c r="K166">
        <v>302978</v>
      </c>
      <c r="O166">
        <f t="shared" si="6"/>
        <v>20.010127388535029</v>
      </c>
      <c r="P166">
        <f t="shared" si="7"/>
        <v>127.38853503184714</v>
      </c>
      <c r="Q166">
        <f t="shared" si="8"/>
        <v>33</v>
      </c>
    </row>
    <row r="167" spans="8:17" x14ac:dyDescent="0.15">
      <c r="H167">
        <v>166</v>
      </c>
      <c r="I167" t="s">
        <v>78</v>
      </c>
      <c r="J167">
        <v>1570</v>
      </c>
      <c r="K167">
        <v>304548</v>
      </c>
      <c r="O167">
        <f t="shared" si="6"/>
        <v>20.010127388535029</v>
      </c>
      <c r="P167">
        <f t="shared" si="7"/>
        <v>127.38853503184714</v>
      </c>
      <c r="Q167">
        <f t="shared" si="8"/>
        <v>33.200000000000003</v>
      </c>
    </row>
    <row r="168" spans="8:17" x14ac:dyDescent="0.15">
      <c r="H168">
        <v>167</v>
      </c>
      <c r="I168" t="s">
        <v>78</v>
      </c>
      <c r="J168">
        <v>1570</v>
      </c>
      <c r="K168">
        <v>306118</v>
      </c>
      <c r="O168">
        <f t="shared" si="6"/>
        <v>20.010127388535029</v>
      </c>
      <c r="P168">
        <f t="shared" si="7"/>
        <v>127.38853503184714</v>
      </c>
      <c r="Q168">
        <f t="shared" si="8"/>
        <v>33.4</v>
      </c>
    </row>
    <row r="169" spans="8:17" x14ac:dyDescent="0.15">
      <c r="H169">
        <v>168</v>
      </c>
      <c r="I169" t="s">
        <v>78</v>
      </c>
      <c r="J169">
        <v>1570</v>
      </c>
      <c r="K169">
        <v>307688</v>
      </c>
      <c r="O169">
        <f t="shared" si="6"/>
        <v>20.010127388535029</v>
      </c>
      <c r="P169">
        <f t="shared" si="7"/>
        <v>127.38853503184714</v>
      </c>
      <c r="Q169">
        <f t="shared" si="8"/>
        <v>33.6</v>
      </c>
    </row>
    <row r="170" spans="8:17" x14ac:dyDescent="0.15">
      <c r="H170">
        <v>169</v>
      </c>
      <c r="I170" t="s">
        <v>78</v>
      </c>
      <c r="J170">
        <v>1570</v>
      </c>
      <c r="K170">
        <v>309258</v>
      </c>
      <c r="O170">
        <f t="shared" si="6"/>
        <v>20.010127388535029</v>
      </c>
      <c r="P170">
        <f t="shared" si="7"/>
        <v>127.38853503184714</v>
      </c>
      <c r="Q170">
        <f t="shared" si="8"/>
        <v>33.800000000000004</v>
      </c>
    </row>
    <row r="171" spans="8:17" x14ac:dyDescent="0.15">
      <c r="H171">
        <v>170</v>
      </c>
      <c r="I171" t="s">
        <v>78</v>
      </c>
      <c r="J171">
        <v>1570</v>
      </c>
      <c r="K171">
        <v>310828</v>
      </c>
      <c r="O171">
        <f t="shared" si="6"/>
        <v>20.010127388535029</v>
      </c>
      <c r="P171">
        <f t="shared" si="7"/>
        <v>127.38853503184714</v>
      </c>
      <c r="Q171">
        <f t="shared" si="8"/>
        <v>34</v>
      </c>
    </row>
    <row r="172" spans="8:17" x14ac:dyDescent="0.15">
      <c r="H172">
        <v>171</v>
      </c>
      <c r="I172" t="s">
        <v>83</v>
      </c>
      <c r="J172">
        <v>1570</v>
      </c>
      <c r="K172">
        <v>312398</v>
      </c>
      <c r="O172">
        <f t="shared" si="6"/>
        <v>20.010127388535029</v>
      </c>
      <c r="P172">
        <f t="shared" si="7"/>
        <v>127.38853503184714</v>
      </c>
      <c r="Q172">
        <f t="shared" si="8"/>
        <v>34.200000000000003</v>
      </c>
    </row>
    <row r="173" spans="8:17" x14ac:dyDescent="0.15">
      <c r="H173">
        <v>172</v>
      </c>
      <c r="I173" t="s">
        <v>78</v>
      </c>
      <c r="J173">
        <v>1570</v>
      </c>
      <c r="K173">
        <v>313968</v>
      </c>
      <c r="O173">
        <f t="shared" si="6"/>
        <v>20.010127388535029</v>
      </c>
      <c r="P173">
        <f t="shared" si="7"/>
        <v>127.38853503184714</v>
      </c>
      <c r="Q173">
        <f t="shared" si="8"/>
        <v>34.4</v>
      </c>
    </row>
    <row r="174" spans="8:17" x14ac:dyDescent="0.15">
      <c r="H174">
        <v>173</v>
      </c>
      <c r="I174" t="s">
        <v>78</v>
      </c>
      <c r="J174">
        <v>1570</v>
      </c>
      <c r="K174">
        <v>315538</v>
      </c>
      <c r="O174">
        <f t="shared" si="6"/>
        <v>20.010127388535029</v>
      </c>
      <c r="P174">
        <f t="shared" si="7"/>
        <v>127.38853503184714</v>
      </c>
      <c r="Q174">
        <f t="shared" si="8"/>
        <v>34.6</v>
      </c>
    </row>
    <row r="175" spans="8:17" x14ac:dyDescent="0.15">
      <c r="H175">
        <v>174</v>
      </c>
      <c r="I175" t="s">
        <v>78</v>
      </c>
      <c r="J175">
        <v>1570</v>
      </c>
      <c r="K175">
        <v>317108</v>
      </c>
      <c r="O175">
        <f t="shared" si="6"/>
        <v>20.010127388535029</v>
      </c>
      <c r="P175">
        <f t="shared" si="7"/>
        <v>127.38853503184714</v>
      </c>
      <c r="Q175">
        <f t="shared" si="8"/>
        <v>34.800000000000004</v>
      </c>
    </row>
    <row r="176" spans="8:17" x14ac:dyDescent="0.15">
      <c r="H176">
        <v>175</v>
      </c>
      <c r="I176" t="s">
        <v>78</v>
      </c>
      <c r="J176">
        <v>1570</v>
      </c>
      <c r="K176">
        <v>318678</v>
      </c>
      <c r="O176">
        <f t="shared" si="6"/>
        <v>20.010127388535029</v>
      </c>
      <c r="P176">
        <f t="shared" si="7"/>
        <v>127.38853503184714</v>
      </c>
      <c r="Q176">
        <f t="shared" si="8"/>
        <v>35</v>
      </c>
    </row>
    <row r="177" spans="8:17" x14ac:dyDescent="0.15">
      <c r="H177">
        <v>176</v>
      </c>
      <c r="I177" t="s">
        <v>78</v>
      </c>
      <c r="J177">
        <v>1570</v>
      </c>
      <c r="K177">
        <v>320248</v>
      </c>
      <c r="O177">
        <f t="shared" si="6"/>
        <v>20.010127388535029</v>
      </c>
      <c r="P177">
        <f t="shared" si="7"/>
        <v>127.38853503184714</v>
      </c>
      <c r="Q177">
        <f t="shared" si="8"/>
        <v>35.200000000000003</v>
      </c>
    </row>
    <row r="178" spans="8:17" x14ac:dyDescent="0.15">
      <c r="H178">
        <v>177</v>
      </c>
      <c r="I178" t="s">
        <v>78</v>
      </c>
      <c r="J178">
        <v>1570</v>
      </c>
      <c r="K178">
        <v>321818</v>
      </c>
      <c r="O178">
        <f t="shared" si="6"/>
        <v>20.010127388535029</v>
      </c>
      <c r="P178">
        <f t="shared" si="7"/>
        <v>127.38853503184714</v>
      </c>
      <c r="Q178">
        <f t="shared" si="8"/>
        <v>35.4</v>
      </c>
    </row>
    <row r="179" spans="8:17" x14ac:dyDescent="0.15">
      <c r="H179">
        <v>178</v>
      </c>
      <c r="I179" t="s">
        <v>78</v>
      </c>
      <c r="J179">
        <v>1570</v>
      </c>
      <c r="K179">
        <v>323388</v>
      </c>
      <c r="O179">
        <f t="shared" si="6"/>
        <v>20.010127388535029</v>
      </c>
      <c r="P179">
        <f t="shared" si="7"/>
        <v>127.38853503184714</v>
      </c>
      <c r="Q179">
        <f t="shared" si="8"/>
        <v>35.6</v>
      </c>
    </row>
    <row r="180" spans="8:17" x14ac:dyDescent="0.15">
      <c r="H180">
        <v>179</v>
      </c>
      <c r="I180" t="s">
        <v>78</v>
      </c>
      <c r="J180">
        <v>1570</v>
      </c>
      <c r="K180">
        <v>324958</v>
      </c>
      <c r="O180">
        <f t="shared" si="6"/>
        <v>20.010127388535029</v>
      </c>
      <c r="P180">
        <f t="shared" si="7"/>
        <v>127.38853503184714</v>
      </c>
      <c r="Q180">
        <f t="shared" si="8"/>
        <v>35.800000000000004</v>
      </c>
    </row>
    <row r="181" spans="8:17" x14ac:dyDescent="0.15">
      <c r="H181">
        <v>180</v>
      </c>
      <c r="I181" t="s">
        <v>78</v>
      </c>
      <c r="J181">
        <v>1570</v>
      </c>
      <c r="K181">
        <v>326528</v>
      </c>
      <c r="O181">
        <f t="shared" si="6"/>
        <v>20.010127388535029</v>
      </c>
      <c r="P181">
        <f t="shared" si="7"/>
        <v>127.38853503184714</v>
      </c>
      <c r="Q181">
        <f t="shared" si="8"/>
        <v>36</v>
      </c>
    </row>
    <row r="182" spans="8:17" x14ac:dyDescent="0.15">
      <c r="H182">
        <v>181</v>
      </c>
      <c r="I182" t="s">
        <v>78</v>
      </c>
      <c r="J182">
        <v>1570</v>
      </c>
      <c r="K182">
        <v>328098</v>
      </c>
      <c r="O182">
        <f t="shared" si="6"/>
        <v>20.010127388535029</v>
      </c>
      <c r="P182">
        <f t="shared" si="7"/>
        <v>127.38853503184714</v>
      </c>
      <c r="Q182">
        <f t="shared" si="8"/>
        <v>36.200000000000003</v>
      </c>
    </row>
    <row r="183" spans="8:17" x14ac:dyDescent="0.15">
      <c r="H183">
        <v>182</v>
      </c>
      <c r="I183" t="s">
        <v>78</v>
      </c>
      <c r="J183">
        <v>1570</v>
      </c>
      <c r="K183">
        <v>329668</v>
      </c>
      <c r="O183">
        <f t="shared" si="6"/>
        <v>20.010127388535029</v>
      </c>
      <c r="P183">
        <f t="shared" si="7"/>
        <v>127.38853503184714</v>
      </c>
      <c r="Q183">
        <f t="shared" si="8"/>
        <v>36.4</v>
      </c>
    </row>
    <row r="184" spans="8:17" x14ac:dyDescent="0.15">
      <c r="H184">
        <v>183</v>
      </c>
      <c r="I184" t="s">
        <v>78</v>
      </c>
      <c r="J184">
        <v>1570</v>
      </c>
      <c r="K184">
        <v>331238</v>
      </c>
      <c r="O184">
        <f t="shared" si="6"/>
        <v>20.010127388535029</v>
      </c>
      <c r="P184">
        <f t="shared" si="7"/>
        <v>127.38853503184714</v>
      </c>
      <c r="Q184">
        <f t="shared" si="8"/>
        <v>36.6</v>
      </c>
    </row>
    <row r="185" spans="8:17" x14ac:dyDescent="0.15">
      <c r="H185">
        <v>184</v>
      </c>
      <c r="I185" t="s">
        <v>78</v>
      </c>
      <c r="J185">
        <v>1570</v>
      </c>
      <c r="K185">
        <v>332808</v>
      </c>
      <c r="O185">
        <f t="shared" si="6"/>
        <v>20.010127388535029</v>
      </c>
      <c r="P185">
        <f t="shared" si="7"/>
        <v>127.38853503184714</v>
      </c>
      <c r="Q185">
        <f t="shared" si="8"/>
        <v>36.800000000000004</v>
      </c>
    </row>
    <row r="186" spans="8:17" x14ac:dyDescent="0.15">
      <c r="H186">
        <v>185</v>
      </c>
      <c r="I186" t="s">
        <v>78</v>
      </c>
      <c r="J186">
        <v>1570</v>
      </c>
      <c r="K186">
        <v>334378</v>
      </c>
      <c r="O186">
        <f t="shared" si="6"/>
        <v>20.010127388535029</v>
      </c>
      <c r="P186">
        <f t="shared" si="7"/>
        <v>127.38853503184714</v>
      </c>
      <c r="Q186">
        <f t="shared" si="8"/>
        <v>37</v>
      </c>
    </row>
    <row r="187" spans="8:17" x14ac:dyDescent="0.15">
      <c r="H187">
        <v>186</v>
      </c>
      <c r="I187" t="s">
        <v>78</v>
      </c>
      <c r="J187">
        <v>1570</v>
      </c>
      <c r="K187">
        <v>335948</v>
      </c>
      <c r="O187">
        <f t="shared" si="6"/>
        <v>20.010127388535029</v>
      </c>
      <c r="P187">
        <f t="shared" si="7"/>
        <v>127.38853503184714</v>
      </c>
      <c r="Q187">
        <f t="shared" si="8"/>
        <v>37.200000000000003</v>
      </c>
    </row>
    <row r="188" spans="8:17" x14ac:dyDescent="0.15">
      <c r="H188">
        <v>187</v>
      </c>
      <c r="I188" t="s">
        <v>78</v>
      </c>
      <c r="J188">
        <v>1570</v>
      </c>
      <c r="K188">
        <v>337518</v>
      </c>
      <c r="O188">
        <f t="shared" si="6"/>
        <v>20.010127388535029</v>
      </c>
      <c r="P188">
        <f t="shared" si="7"/>
        <v>127.38853503184714</v>
      </c>
      <c r="Q188">
        <f t="shared" si="8"/>
        <v>37.4</v>
      </c>
    </row>
    <row r="189" spans="8:17" x14ac:dyDescent="0.15">
      <c r="H189">
        <v>188</v>
      </c>
      <c r="I189" t="s">
        <v>78</v>
      </c>
      <c r="J189">
        <v>1570</v>
      </c>
      <c r="K189">
        <v>339088</v>
      </c>
      <c r="O189">
        <f t="shared" si="6"/>
        <v>20.010127388535029</v>
      </c>
      <c r="P189">
        <f t="shared" si="7"/>
        <v>127.38853503184714</v>
      </c>
      <c r="Q189">
        <f t="shared" si="8"/>
        <v>37.6</v>
      </c>
    </row>
    <row r="190" spans="8:17" x14ac:dyDescent="0.15">
      <c r="H190">
        <v>189</v>
      </c>
      <c r="I190" t="s">
        <v>79</v>
      </c>
      <c r="J190">
        <v>1570</v>
      </c>
      <c r="K190">
        <v>340658</v>
      </c>
      <c r="O190">
        <f t="shared" si="6"/>
        <v>20.010127388535029</v>
      </c>
      <c r="P190">
        <f t="shared" si="7"/>
        <v>127.38853503184714</v>
      </c>
      <c r="Q190">
        <f t="shared" si="8"/>
        <v>37.800000000000004</v>
      </c>
    </row>
    <row r="191" spans="8:17" x14ac:dyDescent="0.15">
      <c r="H191">
        <v>190</v>
      </c>
      <c r="I191" t="s">
        <v>78</v>
      </c>
      <c r="J191">
        <v>1570</v>
      </c>
      <c r="K191">
        <v>342228</v>
      </c>
      <c r="O191">
        <f t="shared" si="6"/>
        <v>20.010127388535029</v>
      </c>
      <c r="P191">
        <f t="shared" si="7"/>
        <v>127.38853503184714</v>
      </c>
      <c r="Q191">
        <f t="shared" si="8"/>
        <v>38</v>
      </c>
    </row>
    <row r="192" spans="8:17" x14ac:dyDescent="0.15">
      <c r="H192">
        <v>191</v>
      </c>
      <c r="I192" t="s">
        <v>78</v>
      </c>
      <c r="J192">
        <v>1570</v>
      </c>
      <c r="K192">
        <v>343798</v>
      </c>
      <c r="O192">
        <f t="shared" si="6"/>
        <v>20.010127388535029</v>
      </c>
      <c r="P192">
        <f t="shared" si="7"/>
        <v>127.38853503184714</v>
      </c>
      <c r="Q192">
        <f t="shared" si="8"/>
        <v>38.200000000000003</v>
      </c>
    </row>
    <row r="193" spans="8:17" x14ac:dyDescent="0.15">
      <c r="H193">
        <v>192</v>
      </c>
      <c r="I193" t="s">
        <v>78</v>
      </c>
      <c r="J193">
        <v>1570</v>
      </c>
      <c r="K193">
        <v>345368</v>
      </c>
      <c r="O193">
        <f t="shared" si="6"/>
        <v>20.010127388535029</v>
      </c>
      <c r="P193">
        <f t="shared" si="7"/>
        <v>127.38853503184714</v>
      </c>
      <c r="Q193">
        <f t="shared" si="8"/>
        <v>38.400000000000006</v>
      </c>
    </row>
    <row r="194" spans="8:17" x14ac:dyDescent="0.15">
      <c r="H194">
        <v>193</v>
      </c>
      <c r="I194" t="s">
        <v>78</v>
      </c>
      <c r="J194">
        <v>1570</v>
      </c>
      <c r="K194">
        <v>346938</v>
      </c>
      <c r="O194">
        <f t="shared" si="6"/>
        <v>20.010127388535029</v>
      </c>
      <c r="P194">
        <f t="shared" si="7"/>
        <v>127.38853503184714</v>
      </c>
      <c r="Q194">
        <f t="shared" si="8"/>
        <v>38.6</v>
      </c>
    </row>
    <row r="195" spans="8:17" x14ac:dyDescent="0.15">
      <c r="H195">
        <v>194</v>
      </c>
      <c r="I195" t="s">
        <v>78</v>
      </c>
      <c r="J195">
        <v>1570</v>
      </c>
      <c r="K195">
        <v>348508</v>
      </c>
      <c r="O195">
        <f t="shared" ref="O195:O258" si="9">$C$11/(J195/$C$7)</f>
        <v>20.010127388535029</v>
      </c>
      <c r="P195">
        <f t="shared" ref="P195:P258" si="10">$C$10/(J195/$C$7)</f>
        <v>127.38853503184714</v>
      </c>
      <c r="Q195">
        <f t="shared" ref="Q195:Q258" si="11">H195*$C$10</f>
        <v>38.800000000000004</v>
      </c>
    </row>
    <row r="196" spans="8:17" x14ac:dyDescent="0.15">
      <c r="H196">
        <v>195</v>
      </c>
      <c r="I196" t="s">
        <v>78</v>
      </c>
      <c r="J196">
        <v>1570</v>
      </c>
      <c r="K196">
        <v>350078</v>
      </c>
      <c r="O196">
        <f t="shared" si="9"/>
        <v>20.010127388535029</v>
      </c>
      <c r="P196">
        <f t="shared" si="10"/>
        <v>127.38853503184714</v>
      </c>
      <c r="Q196">
        <f t="shared" si="11"/>
        <v>39</v>
      </c>
    </row>
    <row r="197" spans="8:17" x14ac:dyDescent="0.15">
      <c r="H197">
        <v>196</v>
      </c>
      <c r="I197" t="s">
        <v>78</v>
      </c>
      <c r="J197">
        <v>1570</v>
      </c>
      <c r="K197">
        <v>351648</v>
      </c>
      <c r="O197">
        <f t="shared" si="9"/>
        <v>20.010127388535029</v>
      </c>
      <c r="P197">
        <f t="shared" si="10"/>
        <v>127.38853503184714</v>
      </c>
      <c r="Q197">
        <f t="shared" si="11"/>
        <v>39.200000000000003</v>
      </c>
    </row>
    <row r="198" spans="8:17" x14ac:dyDescent="0.15">
      <c r="H198">
        <v>197</v>
      </c>
      <c r="I198" t="s">
        <v>78</v>
      </c>
      <c r="J198">
        <v>1570</v>
      </c>
      <c r="K198">
        <v>353218</v>
      </c>
      <c r="O198">
        <f t="shared" si="9"/>
        <v>20.010127388535029</v>
      </c>
      <c r="P198">
        <f t="shared" si="10"/>
        <v>127.38853503184714</v>
      </c>
      <c r="Q198">
        <f t="shared" si="11"/>
        <v>39.400000000000006</v>
      </c>
    </row>
    <row r="199" spans="8:17" x14ac:dyDescent="0.15">
      <c r="H199">
        <v>198</v>
      </c>
      <c r="I199" t="s">
        <v>78</v>
      </c>
      <c r="J199">
        <v>1570</v>
      </c>
      <c r="K199">
        <v>354788</v>
      </c>
      <c r="O199">
        <f t="shared" si="9"/>
        <v>20.010127388535029</v>
      </c>
      <c r="P199">
        <f t="shared" si="10"/>
        <v>127.38853503184714</v>
      </c>
      <c r="Q199">
        <f t="shared" si="11"/>
        <v>39.6</v>
      </c>
    </row>
    <row r="200" spans="8:17" x14ac:dyDescent="0.15">
      <c r="H200">
        <v>199</v>
      </c>
      <c r="I200" t="s">
        <v>78</v>
      </c>
      <c r="J200">
        <v>1570</v>
      </c>
      <c r="K200">
        <v>356358</v>
      </c>
      <c r="O200">
        <f t="shared" si="9"/>
        <v>20.010127388535029</v>
      </c>
      <c r="P200">
        <f t="shared" si="10"/>
        <v>127.38853503184714</v>
      </c>
      <c r="Q200">
        <f t="shared" si="11"/>
        <v>39.800000000000004</v>
      </c>
    </row>
    <row r="201" spans="8:17" x14ac:dyDescent="0.15">
      <c r="H201">
        <v>200</v>
      </c>
      <c r="I201" t="s">
        <v>78</v>
      </c>
      <c r="J201">
        <v>1570</v>
      </c>
      <c r="K201">
        <v>357928</v>
      </c>
      <c r="O201">
        <f t="shared" si="9"/>
        <v>20.010127388535029</v>
      </c>
      <c r="P201">
        <f t="shared" si="10"/>
        <v>127.38853503184714</v>
      </c>
      <c r="Q201">
        <f t="shared" si="11"/>
        <v>40</v>
      </c>
    </row>
    <row r="202" spans="8:17" x14ac:dyDescent="0.15">
      <c r="H202">
        <v>201</v>
      </c>
      <c r="I202" t="s">
        <v>78</v>
      </c>
      <c r="J202">
        <v>1570</v>
      </c>
      <c r="K202">
        <v>359498</v>
      </c>
      <c r="O202">
        <f t="shared" si="9"/>
        <v>20.010127388535029</v>
      </c>
      <c r="P202">
        <f t="shared" si="10"/>
        <v>127.38853503184714</v>
      </c>
      <c r="Q202">
        <f t="shared" si="11"/>
        <v>40.200000000000003</v>
      </c>
    </row>
    <row r="203" spans="8:17" x14ac:dyDescent="0.15">
      <c r="H203">
        <v>202</v>
      </c>
      <c r="I203" t="s">
        <v>78</v>
      </c>
      <c r="J203">
        <v>1570</v>
      </c>
      <c r="K203">
        <v>361068</v>
      </c>
      <c r="O203">
        <f t="shared" si="9"/>
        <v>20.010127388535029</v>
      </c>
      <c r="P203">
        <f t="shared" si="10"/>
        <v>127.38853503184714</v>
      </c>
      <c r="Q203">
        <f t="shared" si="11"/>
        <v>40.400000000000006</v>
      </c>
    </row>
    <row r="204" spans="8:17" x14ac:dyDescent="0.15">
      <c r="H204">
        <v>203</v>
      </c>
      <c r="I204" t="s">
        <v>78</v>
      </c>
      <c r="J204">
        <v>1570</v>
      </c>
      <c r="K204">
        <v>362638</v>
      </c>
      <c r="O204">
        <f t="shared" si="9"/>
        <v>20.010127388535029</v>
      </c>
      <c r="P204">
        <f t="shared" si="10"/>
        <v>127.38853503184714</v>
      </c>
      <c r="Q204">
        <f t="shared" si="11"/>
        <v>40.6</v>
      </c>
    </row>
    <row r="205" spans="8:17" x14ac:dyDescent="0.15">
      <c r="H205">
        <v>204</v>
      </c>
      <c r="I205" t="s">
        <v>78</v>
      </c>
      <c r="J205">
        <v>1570</v>
      </c>
      <c r="K205">
        <v>364208</v>
      </c>
      <c r="O205">
        <f t="shared" si="9"/>
        <v>20.010127388535029</v>
      </c>
      <c r="P205">
        <f t="shared" si="10"/>
        <v>127.38853503184714</v>
      </c>
      <c r="Q205">
        <f t="shared" si="11"/>
        <v>40.800000000000004</v>
      </c>
    </row>
    <row r="206" spans="8:17" x14ac:dyDescent="0.15">
      <c r="H206">
        <v>205</v>
      </c>
      <c r="I206" t="s">
        <v>78</v>
      </c>
      <c r="J206">
        <v>1570</v>
      </c>
      <c r="K206">
        <v>365778</v>
      </c>
      <c r="O206">
        <f t="shared" si="9"/>
        <v>20.010127388535029</v>
      </c>
      <c r="P206">
        <f t="shared" si="10"/>
        <v>127.38853503184714</v>
      </c>
      <c r="Q206">
        <f t="shared" si="11"/>
        <v>41</v>
      </c>
    </row>
    <row r="207" spans="8:17" x14ac:dyDescent="0.15">
      <c r="H207">
        <v>206</v>
      </c>
      <c r="I207" t="s">
        <v>78</v>
      </c>
      <c r="J207">
        <v>1570</v>
      </c>
      <c r="K207">
        <v>367348</v>
      </c>
      <c r="O207">
        <f t="shared" si="9"/>
        <v>20.010127388535029</v>
      </c>
      <c r="P207">
        <f t="shared" si="10"/>
        <v>127.38853503184714</v>
      </c>
      <c r="Q207">
        <f t="shared" si="11"/>
        <v>41.2</v>
      </c>
    </row>
    <row r="208" spans="8:17" x14ac:dyDescent="0.15">
      <c r="H208">
        <v>207</v>
      </c>
      <c r="I208" t="s">
        <v>78</v>
      </c>
      <c r="J208">
        <v>1570</v>
      </c>
      <c r="K208">
        <v>368918</v>
      </c>
      <c r="O208">
        <f t="shared" si="9"/>
        <v>20.010127388535029</v>
      </c>
      <c r="P208">
        <f t="shared" si="10"/>
        <v>127.38853503184714</v>
      </c>
      <c r="Q208">
        <f t="shared" si="11"/>
        <v>41.400000000000006</v>
      </c>
    </row>
    <row r="209" spans="8:17" x14ac:dyDescent="0.15">
      <c r="H209">
        <v>208</v>
      </c>
      <c r="I209" t="s">
        <v>78</v>
      </c>
      <c r="J209">
        <v>1570</v>
      </c>
      <c r="K209">
        <v>370488</v>
      </c>
      <c r="O209">
        <f t="shared" si="9"/>
        <v>20.010127388535029</v>
      </c>
      <c r="P209">
        <f t="shared" si="10"/>
        <v>127.38853503184714</v>
      </c>
      <c r="Q209">
        <f t="shared" si="11"/>
        <v>41.6</v>
      </c>
    </row>
    <row r="210" spans="8:17" x14ac:dyDescent="0.15">
      <c r="H210">
        <v>209</v>
      </c>
      <c r="I210" t="s">
        <v>78</v>
      </c>
      <c r="J210">
        <v>1570</v>
      </c>
      <c r="K210">
        <v>372058</v>
      </c>
      <c r="O210">
        <f t="shared" si="9"/>
        <v>20.010127388535029</v>
      </c>
      <c r="P210">
        <f t="shared" si="10"/>
        <v>127.38853503184714</v>
      </c>
      <c r="Q210">
        <f t="shared" si="11"/>
        <v>41.800000000000004</v>
      </c>
    </row>
    <row r="211" spans="8:17" x14ac:dyDescent="0.15">
      <c r="H211">
        <v>210</v>
      </c>
      <c r="I211" t="s">
        <v>78</v>
      </c>
      <c r="J211">
        <v>1570</v>
      </c>
      <c r="K211">
        <v>373628</v>
      </c>
      <c r="O211">
        <f t="shared" si="9"/>
        <v>20.010127388535029</v>
      </c>
      <c r="P211">
        <f t="shared" si="10"/>
        <v>127.38853503184714</v>
      </c>
      <c r="Q211">
        <f t="shared" si="11"/>
        <v>42</v>
      </c>
    </row>
    <row r="212" spans="8:17" x14ac:dyDescent="0.15">
      <c r="H212">
        <v>211</v>
      </c>
      <c r="I212" t="s">
        <v>78</v>
      </c>
      <c r="J212">
        <v>1570</v>
      </c>
      <c r="K212">
        <v>375198</v>
      </c>
      <c r="O212">
        <f t="shared" si="9"/>
        <v>20.010127388535029</v>
      </c>
      <c r="P212">
        <f t="shared" si="10"/>
        <v>127.38853503184714</v>
      </c>
      <c r="Q212">
        <f t="shared" si="11"/>
        <v>42.2</v>
      </c>
    </row>
    <row r="213" spans="8:17" x14ac:dyDescent="0.15">
      <c r="H213">
        <v>212</v>
      </c>
      <c r="I213" t="s">
        <v>78</v>
      </c>
      <c r="J213">
        <v>1570</v>
      </c>
      <c r="K213">
        <v>376768</v>
      </c>
      <c r="O213">
        <f t="shared" si="9"/>
        <v>20.010127388535029</v>
      </c>
      <c r="P213">
        <f t="shared" si="10"/>
        <v>127.38853503184714</v>
      </c>
      <c r="Q213">
        <f t="shared" si="11"/>
        <v>42.400000000000006</v>
      </c>
    </row>
    <row r="214" spans="8:17" x14ac:dyDescent="0.15">
      <c r="H214">
        <v>213</v>
      </c>
      <c r="I214" t="s">
        <v>81</v>
      </c>
      <c r="J214">
        <v>1570</v>
      </c>
      <c r="K214">
        <v>378338</v>
      </c>
      <c r="O214">
        <f t="shared" si="9"/>
        <v>20.010127388535029</v>
      </c>
      <c r="P214">
        <f t="shared" si="10"/>
        <v>127.38853503184714</v>
      </c>
      <c r="Q214">
        <f t="shared" si="11"/>
        <v>42.6</v>
      </c>
    </row>
    <row r="215" spans="8:17" x14ac:dyDescent="0.15">
      <c r="H215">
        <v>214</v>
      </c>
      <c r="I215" t="s">
        <v>78</v>
      </c>
      <c r="J215">
        <v>1570</v>
      </c>
      <c r="K215">
        <v>379908</v>
      </c>
      <c r="O215">
        <f t="shared" si="9"/>
        <v>20.010127388535029</v>
      </c>
      <c r="P215">
        <f t="shared" si="10"/>
        <v>127.38853503184714</v>
      </c>
      <c r="Q215">
        <f t="shared" si="11"/>
        <v>42.800000000000004</v>
      </c>
    </row>
    <row r="216" spans="8:17" x14ac:dyDescent="0.15">
      <c r="H216">
        <v>215</v>
      </c>
      <c r="I216" t="s">
        <v>78</v>
      </c>
      <c r="J216">
        <v>1570</v>
      </c>
      <c r="K216">
        <v>381478</v>
      </c>
      <c r="O216">
        <f t="shared" si="9"/>
        <v>20.010127388535029</v>
      </c>
      <c r="P216">
        <f t="shared" si="10"/>
        <v>127.38853503184714</v>
      </c>
      <c r="Q216">
        <f t="shared" si="11"/>
        <v>43</v>
      </c>
    </row>
    <row r="217" spans="8:17" x14ac:dyDescent="0.15">
      <c r="H217">
        <v>216</v>
      </c>
      <c r="I217" t="s">
        <v>78</v>
      </c>
      <c r="J217">
        <v>1570</v>
      </c>
      <c r="K217">
        <v>383048</v>
      </c>
      <c r="O217">
        <f t="shared" si="9"/>
        <v>20.010127388535029</v>
      </c>
      <c r="P217">
        <f t="shared" si="10"/>
        <v>127.38853503184714</v>
      </c>
      <c r="Q217">
        <f t="shared" si="11"/>
        <v>43.2</v>
      </c>
    </row>
    <row r="218" spans="8:17" x14ac:dyDescent="0.15">
      <c r="H218">
        <v>217</v>
      </c>
      <c r="I218" t="s">
        <v>78</v>
      </c>
      <c r="J218">
        <v>1570</v>
      </c>
      <c r="K218">
        <v>384618</v>
      </c>
      <c r="O218">
        <f t="shared" si="9"/>
        <v>20.010127388535029</v>
      </c>
      <c r="P218">
        <f t="shared" si="10"/>
        <v>127.38853503184714</v>
      </c>
      <c r="Q218">
        <f t="shared" si="11"/>
        <v>43.400000000000006</v>
      </c>
    </row>
    <row r="219" spans="8:17" x14ac:dyDescent="0.15">
      <c r="H219">
        <v>218</v>
      </c>
      <c r="I219" t="s">
        <v>78</v>
      </c>
      <c r="J219">
        <v>1570</v>
      </c>
      <c r="K219">
        <v>386188</v>
      </c>
      <c r="O219">
        <f t="shared" si="9"/>
        <v>20.010127388535029</v>
      </c>
      <c r="P219">
        <f t="shared" si="10"/>
        <v>127.38853503184714</v>
      </c>
      <c r="Q219">
        <f t="shared" si="11"/>
        <v>43.6</v>
      </c>
    </row>
    <row r="220" spans="8:17" x14ac:dyDescent="0.15">
      <c r="H220">
        <v>219</v>
      </c>
      <c r="I220" t="s">
        <v>78</v>
      </c>
      <c r="J220">
        <v>1570</v>
      </c>
      <c r="K220">
        <v>387758</v>
      </c>
      <c r="O220">
        <f t="shared" si="9"/>
        <v>20.010127388535029</v>
      </c>
      <c r="P220">
        <f t="shared" si="10"/>
        <v>127.38853503184714</v>
      </c>
      <c r="Q220">
        <f t="shared" si="11"/>
        <v>43.800000000000004</v>
      </c>
    </row>
    <row r="221" spans="8:17" x14ac:dyDescent="0.15">
      <c r="H221">
        <v>220</v>
      </c>
      <c r="I221" t="s">
        <v>78</v>
      </c>
      <c r="J221">
        <v>1570</v>
      </c>
      <c r="K221">
        <v>389328</v>
      </c>
      <c r="O221">
        <f t="shared" si="9"/>
        <v>20.010127388535029</v>
      </c>
      <c r="P221">
        <f t="shared" si="10"/>
        <v>127.38853503184714</v>
      </c>
      <c r="Q221">
        <f t="shared" si="11"/>
        <v>44</v>
      </c>
    </row>
    <row r="222" spans="8:17" x14ac:dyDescent="0.15">
      <c r="H222">
        <v>221</v>
      </c>
      <c r="I222" t="s">
        <v>78</v>
      </c>
      <c r="J222">
        <v>1570</v>
      </c>
      <c r="K222">
        <v>390898</v>
      </c>
      <c r="O222">
        <f t="shared" si="9"/>
        <v>20.010127388535029</v>
      </c>
      <c r="P222">
        <f t="shared" si="10"/>
        <v>127.38853503184714</v>
      </c>
      <c r="Q222">
        <f t="shared" si="11"/>
        <v>44.2</v>
      </c>
    </row>
    <row r="223" spans="8:17" x14ac:dyDescent="0.15">
      <c r="H223">
        <v>222</v>
      </c>
      <c r="I223" t="s">
        <v>78</v>
      </c>
      <c r="J223">
        <v>1570</v>
      </c>
      <c r="K223">
        <v>392468</v>
      </c>
      <c r="O223">
        <f t="shared" si="9"/>
        <v>20.010127388535029</v>
      </c>
      <c r="P223">
        <f t="shared" si="10"/>
        <v>127.38853503184714</v>
      </c>
      <c r="Q223">
        <f t="shared" si="11"/>
        <v>44.400000000000006</v>
      </c>
    </row>
    <row r="224" spans="8:17" x14ac:dyDescent="0.15">
      <c r="H224">
        <v>223</v>
      </c>
      <c r="I224" t="s">
        <v>78</v>
      </c>
      <c r="J224">
        <v>1570</v>
      </c>
      <c r="K224">
        <v>394038</v>
      </c>
      <c r="O224">
        <f t="shared" si="9"/>
        <v>20.010127388535029</v>
      </c>
      <c r="P224">
        <f t="shared" si="10"/>
        <v>127.38853503184714</v>
      </c>
      <c r="Q224">
        <f t="shared" si="11"/>
        <v>44.6</v>
      </c>
    </row>
    <row r="225" spans="8:17" x14ac:dyDescent="0.15">
      <c r="H225">
        <v>224</v>
      </c>
      <c r="I225" t="s">
        <v>78</v>
      </c>
      <c r="J225">
        <v>1570</v>
      </c>
      <c r="K225">
        <v>395608</v>
      </c>
      <c r="O225">
        <f t="shared" si="9"/>
        <v>20.010127388535029</v>
      </c>
      <c r="P225">
        <f t="shared" si="10"/>
        <v>127.38853503184714</v>
      </c>
      <c r="Q225">
        <f t="shared" si="11"/>
        <v>44.800000000000004</v>
      </c>
    </row>
    <row r="226" spans="8:17" x14ac:dyDescent="0.15">
      <c r="H226">
        <v>225</v>
      </c>
      <c r="I226" t="s">
        <v>78</v>
      </c>
      <c r="J226">
        <v>1570</v>
      </c>
      <c r="K226">
        <v>397178</v>
      </c>
      <c r="O226">
        <f t="shared" si="9"/>
        <v>20.010127388535029</v>
      </c>
      <c r="P226">
        <f t="shared" si="10"/>
        <v>127.38853503184714</v>
      </c>
      <c r="Q226">
        <f t="shared" si="11"/>
        <v>45</v>
      </c>
    </row>
    <row r="227" spans="8:17" x14ac:dyDescent="0.15">
      <c r="H227">
        <v>226</v>
      </c>
      <c r="I227" t="s">
        <v>78</v>
      </c>
      <c r="J227">
        <v>1570</v>
      </c>
      <c r="K227">
        <v>398748</v>
      </c>
      <c r="O227">
        <f t="shared" si="9"/>
        <v>20.010127388535029</v>
      </c>
      <c r="P227">
        <f t="shared" si="10"/>
        <v>127.38853503184714</v>
      </c>
      <c r="Q227">
        <f t="shared" si="11"/>
        <v>45.2</v>
      </c>
    </row>
    <row r="228" spans="8:17" x14ac:dyDescent="0.15">
      <c r="H228">
        <v>227</v>
      </c>
      <c r="I228" t="s">
        <v>78</v>
      </c>
      <c r="J228">
        <v>1570</v>
      </c>
      <c r="K228">
        <v>400318</v>
      </c>
      <c r="O228">
        <f t="shared" si="9"/>
        <v>20.010127388535029</v>
      </c>
      <c r="P228">
        <f t="shared" si="10"/>
        <v>127.38853503184714</v>
      </c>
      <c r="Q228">
        <f t="shared" si="11"/>
        <v>45.400000000000006</v>
      </c>
    </row>
    <row r="229" spans="8:17" x14ac:dyDescent="0.15">
      <c r="H229">
        <v>228</v>
      </c>
      <c r="I229" t="s">
        <v>78</v>
      </c>
      <c r="J229">
        <v>1570</v>
      </c>
      <c r="K229">
        <v>401888</v>
      </c>
      <c r="O229">
        <f t="shared" si="9"/>
        <v>20.010127388535029</v>
      </c>
      <c r="P229">
        <f t="shared" si="10"/>
        <v>127.38853503184714</v>
      </c>
      <c r="Q229">
        <f t="shared" si="11"/>
        <v>45.6</v>
      </c>
    </row>
    <row r="230" spans="8:17" x14ac:dyDescent="0.15">
      <c r="H230">
        <v>229</v>
      </c>
      <c r="I230" t="s">
        <v>78</v>
      </c>
      <c r="J230">
        <v>1570</v>
      </c>
      <c r="K230">
        <v>403458</v>
      </c>
      <c r="O230">
        <f t="shared" si="9"/>
        <v>20.010127388535029</v>
      </c>
      <c r="P230">
        <f t="shared" si="10"/>
        <v>127.38853503184714</v>
      </c>
      <c r="Q230">
        <f t="shared" si="11"/>
        <v>45.800000000000004</v>
      </c>
    </row>
    <row r="231" spans="8:17" x14ac:dyDescent="0.15">
      <c r="H231">
        <v>230</v>
      </c>
      <c r="I231" t="s">
        <v>78</v>
      </c>
      <c r="J231">
        <v>1570</v>
      </c>
      <c r="K231">
        <v>405028</v>
      </c>
      <c r="O231">
        <f t="shared" si="9"/>
        <v>20.010127388535029</v>
      </c>
      <c r="P231">
        <f t="shared" si="10"/>
        <v>127.38853503184714</v>
      </c>
      <c r="Q231">
        <f t="shared" si="11"/>
        <v>46</v>
      </c>
    </row>
    <row r="232" spans="8:17" x14ac:dyDescent="0.15">
      <c r="H232">
        <v>231</v>
      </c>
      <c r="I232" t="s">
        <v>78</v>
      </c>
      <c r="J232">
        <v>1570</v>
      </c>
      <c r="K232">
        <v>406598</v>
      </c>
      <c r="O232">
        <f t="shared" si="9"/>
        <v>20.010127388535029</v>
      </c>
      <c r="P232">
        <f t="shared" si="10"/>
        <v>127.38853503184714</v>
      </c>
      <c r="Q232">
        <f t="shared" si="11"/>
        <v>46.2</v>
      </c>
    </row>
    <row r="233" spans="8:17" x14ac:dyDescent="0.15">
      <c r="H233">
        <v>232</v>
      </c>
      <c r="I233" t="s">
        <v>78</v>
      </c>
      <c r="J233">
        <v>1570</v>
      </c>
      <c r="K233">
        <v>408168</v>
      </c>
      <c r="O233">
        <f t="shared" si="9"/>
        <v>20.010127388535029</v>
      </c>
      <c r="P233">
        <f t="shared" si="10"/>
        <v>127.38853503184714</v>
      </c>
      <c r="Q233">
        <f t="shared" si="11"/>
        <v>46.400000000000006</v>
      </c>
    </row>
    <row r="234" spans="8:17" x14ac:dyDescent="0.15">
      <c r="H234">
        <v>233</v>
      </c>
      <c r="I234" t="s">
        <v>78</v>
      </c>
      <c r="J234">
        <v>1570</v>
      </c>
      <c r="K234">
        <v>409738</v>
      </c>
      <c r="O234">
        <f t="shared" si="9"/>
        <v>20.010127388535029</v>
      </c>
      <c r="P234">
        <f t="shared" si="10"/>
        <v>127.38853503184714</v>
      </c>
      <c r="Q234">
        <f t="shared" si="11"/>
        <v>46.6</v>
      </c>
    </row>
    <row r="235" spans="8:17" x14ac:dyDescent="0.15">
      <c r="H235">
        <v>234</v>
      </c>
      <c r="I235" t="s">
        <v>78</v>
      </c>
      <c r="J235">
        <v>1570</v>
      </c>
      <c r="K235">
        <v>411308</v>
      </c>
      <c r="O235">
        <f t="shared" si="9"/>
        <v>20.010127388535029</v>
      </c>
      <c r="P235">
        <f t="shared" si="10"/>
        <v>127.38853503184714</v>
      </c>
      <c r="Q235">
        <f t="shared" si="11"/>
        <v>46.800000000000004</v>
      </c>
    </row>
    <row r="236" spans="8:17" x14ac:dyDescent="0.15">
      <c r="H236">
        <v>235</v>
      </c>
      <c r="I236" t="s">
        <v>78</v>
      </c>
      <c r="J236">
        <v>1570</v>
      </c>
      <c r="K236">
        <v>412878</v>
      </c>
      <c r="O236">
        <f t="shared" si="9"/>
        <v>20.010127388535029</v>
      </c>
      <c r="P236">
        <f t="shared" si="10"/>
        <v>127.38853503184714</v>
      </c>
      <c r="Q236">
        <f t="shared" si="11"/>
        <v>47</v>
      </c>
    </row>
    <row r="237" spans="8:17" x14ac:dyDescent="0.15">
      <c r="H237">
        <v>236</v>
      </c>
      <c r="I237" t="s">
        <v>78</v>
      </c>
      <c r="J237">
        <v>1570</v>
      </c>
      <c r="K237">
        <v>414448</v>
      </c>
      <c r="O237">
        <f t="shared" si="9"/>
        <v>20.010127388535029</v>
      </c>
      <c r="P237">
        <f t="shared" si="10"/>
        <v>127.38853503184714</v>
      </c>
      <c r="Q237">
        <f t="shared" si="11"/>
        <v>47.2</v>
      </c>
    </row>
    <row r="238" spans="8:17" x14ac:dyDescent="0.15">
      <c r="H238">
        <v>237</v>
      </c>
      <c r="I238" t="s">
        <v>78</v>
      </c>
      <c r="J238">
        <v>1570</v>
      </c>
      <c r="K238">
        <v>416018</v>
      </c>
      <c r="O238">
        <f t="shared" si="9"/>
        <v>20.010127388535029</v>
      </c>
      <c r="P238">
        <f t="shared" si="10"/>
        <v>127.38853503184714</v>
      </c>
      <c r="Q238">
        <f t="shared" si="11"/>
        <v>47.400000000000006</v>
      </c>
    </row>
    <row r="239" spans="8:17" x14ac:dyDescent="0.15">
      <c r="H239">
        <v>238</v>
      </c>
      <c r="I239" t="s">
        <v>78</v>
      </c>
      <c r="J239">
        <v>1570</v>
      </c>
      <c r="K239">
        <v>417588</v>
      </c>
      <c r="O239">
        <f t="shared" si="9"/>
        <v>20.010127388535029</v>
      </c>
      <c r="P239">
        <f t="shared" si="10"/>
        <v>127.38853503184714</v>
      </c>
      <c r="Q239">
        <f t="shared" si="11"/>
        <v>47.6</v>
      </c>
    </row>
    <row r="240" spans="8:17" x14ac:dyDescent="0.15">
      <c r="H240">
        <v>239</v>
      </c>
      <c r="I240" t="s">
        <v>78</v>
      </c>
      <c r="J240">
        <v>1570</v>
      </c>
      <c r="K240">
        <v>419158</v>
      </c>
      <c r="O240">
        <f t="shared" si="9"/>
        <v>20.010127388535029</v>
      </c>
      <c r="P240">
        <f t="shared" si="10"/>
        <v>127.38853503184714</v>
      </c>
      <c r="Q240">
        <f t="shared" si="11"/>
        <v>47.800000000000004</v>
      </c>
    </row>
    <row r="241" spans="8:17" x14ac:dyDescent="0.15">
      <c r="H241">
        <v>240</v>
      </c>
      <c r="I241" t="s">
        <v>78</v>
      </c>
      <c r="J241">
        <v>1570</v>
      </c>
      <c r="K241">
        <v>420728</v>
      </c>
      <c r="O241">
        <f t="shared" si="9"/>
        <v>20.010127388535029</v>
      </c>
      <c r="P241">
        <f t="shared" si="10"/>
        <v>127.38853503184714</v>
      </c>
      <c r="Q241">
        <f t="shared" si="11"/>
        <v>48</v>
      </c>
    </row>
    <row r="242" spans="8:17" x14ac:dyDescent="0.15">
      <c r="H242">
        <v>241</v>
      </c>
      <c r="I242" t="s">
        <v>78</v>
      </c>
      <c r="J242">
        <v>1570</v>
      </c>
      <c r="K242">
        <v>422298</v>
      </c>
      <c r="O242">
        <f t="shared" si="9"/>
        <v>20.010127388535029</v>
      </c>
      <c r="P242">
        <f t="shared" si="10"/>
        <v>127.38853503184714</v>
      </c>
      <c r="Q242">
        <f t="shared" si="11"/>
        <v>48.2</v>
      </c>
    </row>
    <row r="243" spans="8:17" x14ac:dyDescent="0.15">
      <c r="H243">
        <v>242</v>
      </c>
      <c r="I243" t="s">
        <v>78</v>
      </c>
      <c r="J243">
        <v>1570</v>
      </c>
      <c r="K243">
        <v>423868</v>
      </c>
      <c r="O243">
        <f t="shared" si="9"/>
        <v>20.010127388535029</v>
      </c>
      <c r="P243">
        <f t="shared" si="10"/>
        <v>127.38853503184714</v>
      </c>
      <c r="Q243">
        <f t="shared" si="11"/>
        <v>48.400000000000006</v>
      </c>
    </row>
    <row r="244" spans="8:17" x14ac:dyDescent="0.15">
      <c r="H244">
        <v>243</v>
      </c>
      <c r="I244" t="s">
        <v>78</v>
      </c>
      <c r="J244">
        <v>1570</v>
      </c>
      <c r="K244">
        <v>425438</v>
      </c>
      <c r="O244">
        <f t="shared" si="9"/>
        <v>20.010127388535029</v>
      </c>
      <c r="P244">
        <f t="shared" si="10"/>
        <v>127.38853503184714</v>
      </c>
      <c r="Q244">
        <f t="shared" si="11"/>
        <v>48.6</v>
      </c>
    </row>
    <row r="245" spans="8:17" x14ac:dyDescent="0.15">
      <c r="H245">
        <v>244</v>
      </c>
      <c r="I245" t="s">
        <v>78</v>
      </c>
      <c r="J245">
        <v>1570</v>
      </c>
      <c r="K245">
        <v>427008</v>
      </c>
      <c r="O245">
        <f t="shared" si="9"/>
        <v>20.010127388535029</v>
      </c>
      <c r="P245">
        <f t="shared" si="10"/>
        <v>127.38853503184714</v>
      </c>
      <c r="Q245">
        <f t="shared" si="11"/>
        <v>48.800000000000004</v>
      </c>
    </row>
    <row r="246" spans="8:17" x14ac:dyDescent="0.15">
      <c r="H246">
        <v>245</v>
      </c>
      <c r="I246" t="s">
        <v>78</v>
      </c>
      <c r="J246">
        <v>1570</v>
      </c>
      <c r="K246">
        <v>428578</v>
      </c>
      <c r="O246">
        <f t="shared" si="9"/>
        <v>20.010127388535029</v>
      </c>
      <c r="P246">
        <f t="shared" si="10"/>
        <v>127.38853503184714</v>
      </c>
      <c r="Q246">
        <f t="shared" si="11"/>
        <v>49</v>
      </c>
    </row>
    <row r="247" spans="8:17" x14ac:dyDescent="0.15">
      <c r="H247">
        <v>246</v>
      </c>
      <c r="I247" t="s">
        <v>78</v>
      </c>
      <c r="J247">
        <v>1570</v>
      </c>
      <c r="K247">
        <v>430148</v>
      </c>
      <c r="O247">
        <f t="shared" si="9"/>
        <v>20.010127388535029</v>
      </c>
      <c r="P247">
        <f t="shared" si="10"/>
        <v>127.38853503184714</v>
      </c>
      <c r="Q247">
        <f t="shared" si="11"/>
        <v>49.2</v>
      </c>
    </row>
    <row r="248" spans="8:17" x14ac:dyDescent="0.15">
      <c r="H248">
        <v>247</v>
      </c>
      <c r="I248" t="s">
        <v>78</v>
      </c>
      <c r="J248">
        <v>1570</v>
      </c>
      <c r="K248">
        <v>431718</v>
      </c>
      <c r="O248">
        <f t="shared" si="9"/>
        <v>20.010127388535029</v>
      </c>
      <c r="P248">
        <f t="shared" si="10"/>
        <v>127.38853503184714</v>
      </c>
      <c r="Q248">
        <f t="shared" si="11"/>
        <v>49.400000000000006</v>
      </c>
    </row>
    <row r="249" spans="8:17" x14ac:dyDescent="0.15">
      <c r="H249">
        <v>248</v>
      </c>
      <c r="I249" t="s">
        <v>78</v>
      </c>
      <c r="J249">
        <v>1570</v>
      </c>
      <c r="K249">
        <v>433288</v>
      </c>
      <c r="O249">
        <f t="shared" si="9"/>
        <v>20.010127388535029</v>
      </c>
      <c r="P249">
        <f t="shared" si="10"/>
        <v>127.38853503184714</v>
      </c>
      <c r="Q249">
        <f t="shared" si="11"/>
        <v>49.6</v>
      </c>
    </row>
    <row r="250" spans="8:17" x14ac:dyDescent="0.15">
      <c r="H250">
        <v>249</v>
      </c>
      <c r="I250" t="s">
        <v>78</v>
      </c>
      <c r="J250">
        <v>1570</v>
      </c>
      <c r="K250">
        <v>434858</v>
      </c>
      <c r="O250">
        <f t="shared" si="9"/>
        <v>20.010127388535029</v>
      </c>
      <c r="P250">
        <f t="shared" si="10"/>
        <v>127.38853503184714</v>
      </c>
      <c r="Q250">
        <f t="shared" si="11"/>
        <v>49.800000000000004</v>
      </c>
    </row>
    <row r="251" spans="8:17" x14ac:dyDescent="0.15">
      <c r="H251">
        <v>250</v>
      </c>
      <c r="I251" t="s">
        <v>78</v>
      </c>
      <c r="J251">
        <v>1570</v>
      </c>
      <c r="K251">
        <v>436428</v>
      </c>
      <c r="O251">
        <f t="shared" si="9"/>
        <v>20.010127388535029</v>
      </c>
      <c r="P251">
        <f t="shared" si="10"/>
        <v>127.38853503184714</v>
      </c>
      <c r="Q251">
        <f t="shared" si="11"/>
        <v>50</v>
      </c>
    </row>
    <row r="252" spans="8:17" x14ac:dyDescent="0.15">
      <c r="H252">
        <v>251</v>
      </c>
      <c r="I252" t="s">
        <v>78</v>
      </c>
      <c r="J252">
        <v>1570</v>
      </c>
      <c r="K252">
        <v>437998</v>
      </c>
      <c r="O252">
        <f t="shared" si="9"/>
        <v>20.010127388535029</v>
      </c>
      <c r="P252">
        <f t="shared" si="10"/>
        <v>127.38853503184714</v>
      </c>
      <c r="Q252">
        <f t="shared" si="11"/>
        <v>50.2</v>
      </c>
    </row>
    <row r="253" spans="8:17" x14ac:dyDescent="0.15">
      <c r="H253">
        <v>252</v>
      </c>
      <c r="I253" t="s">
        <v>78</v>
      </c>
      <c r="J253">
        <v>1570</v>
      </c>
      <c r="K253">
        <v>439568</v>
      </c>
      <c r="O253">
        <f t="shared" si="9"/>
        <v>20.010127388535029</v>
      </c>
      <c r="P253">
        <f t="shared" si="10"/>
        <v>127.38853503184714</v>
      </c>
      <c r="Q253">
        <f t="shared" si="11"/>
        <v>50.400000000000006</v>
      </c>
    </row>
    <row r="254" spans="8:17" x14ac:dyDescent="0.15">
      <c r="H254">
        <v>253</v>
      </c>
      <c r="I254" t="s">
        <v>78</v>
      </c>
      <c r="J254">
        <v>1570</v>
      </c>
      <c r="K254">
        <v>441138</v>
      </c>
      <c r="O254">
        <f t="shared" si="9"/>
        <v>20.010127388535029</v>
      </c>
      <c r="P254">
        <f t="shared" si="10"/>
        <v>127.38853503184714</v>
      </c>
      <c r="Q254">
        <f t="shared" si="11"/>
        <v>50.6</v>
      </c>
    </row>
    <row r="255" spans="8:17" x14ac:dyDescent="0.15">
      <c r="H255">
        <v>254</v>
      </c>
      <c r="I255" t="s">
        <v>78</v>
      </c>
      <c r="J255">
        <v>1570</v>
      </c>
      <c r="K255">
        <v>442708</v>
      </c>
      <c r="O255">
        <f t="shared" si="9"/>
        <v>20.010127388535029</v>
      </c>
      <c r="P255">
        <f t="shared" si="10"/>
        <v>127.38853503184714</v>
      </c>
      <c r="Q255">
        <f t="shared" si="11"/>
        <v>50.800000000000004</v>
      </c>
    </row>
    <row r="256" spans="8:17" x14ac:dyDescent="0.15">
      <c r="H256">
        <v>255</v>
      </c>
      <c r="I256" t="s">
        <v>78</v>
      </c>
      <c r="J256">
        <v>1570</v>
      </c>
      <c r="K256">
        <v>444278</v>
      </c>
      <c r="O256">
        <f t="shared" si="9"/>
        <v>20.010127388535029</v>
      </c>
      <c r="P256">
        <f t="shared" si="10"/>
        <v>127.38853503184714</v>
      </c>
      <c r="Q256">
        <f t="shared" si="11"/>
        <v>51</v>
      </c>
    </row>
    <row r="257" spans="8:17" x14ac:dyDescent="0.15">
      <c r="H257">
        <v>256</v>
      </c>
      <c r="I257" t="s">
        <v>78</v>
      </c>
      <c r="J257">
        <v>1570</v>
      </c>
      <c r="K257">
        <v>445848</v>
      </c>
      <c r="O257">
        <f t="shared" si="9"/>
        <v>20.010127388535029</v>
      </c>
      <c r="P257">
        <f t="shared" si="10"/>
        <v>127.38853503184714</v>
      </c>
      <c r="Q257">
        <f t="shared" si="11"/>
        <v>51.2</v>
      </c>
    </row>
    <row r="258" spans="8:17" x14ac:dyDescent="0.15">
      <c r="H258">
        <v>257</v>
      </c>
      <c r="I258" t="s">
        <v>78</v>
      </c>
      <c r="J258">
        <v>1570</v>
      </c>
      <c r="K258">
        <v>447418</v>
      </c>
      <c r="O258">
        <f t="shared" si="9"/>
        <v>20.010127388535029</v>
      </c>
      <c r="P258">
        <f t="shared" si="10"/>
        <v>127.38853503184714</v>
      </c>
      <c r="Q258">
        <f t="shared" si="11"/>
        <v>51.400000000000006</v>
      </c>
    </row>
    <row r="259" spans="8:17" x14ac:dyDescent="0.15">
      <c r="H259">
        <v>258</v>
      </c>
      <c r="I259" t="s">
        <v>78</v>
      </c>
      <c r="J259">
        <v>1570</v>
      </c>
      <c r="K259">
        <v>448988</v>
      </c>
      <c r="O259">
        <f t="shared" ref="O259:O322" si="12">$C$11/(J259/$C$7)</f>
        <v>20.010127388535029</v>
      </c>
      <c r="P259">
        <f t="shared" ref="P259:P322" si="13">$C$10/(J259/$C$7)</f>
        <v>127.38853503184714</v>
      </c>
      <c r="Q259">
        <f t="shared" ref="Q259:Q322" si="14">H259*$C$10</f>
        <v>51.6</v>
      </c>
    </row>
    <row r="260" spans="8:17" x14ac:dyDescent="0.15">
      <c r="H260">
        <v>259</v>
      </c>
      <c r="I260" t="s">
        <v>78</v>
      </c>
      <c r="J260">
        <v>1570</v>
      </c>
      <c r="K260">
        <v>450558</v>
      </c>
      <c r="O260">
        <f t="shared" si="12"/>
        <v>20.010127388535029</v>
      </c>
      <c r="P260">
        <f t="shared" si="13"/>
        <v>127.38853503184714</v>
      </c>
      <c r="Q260">
        <f t="shared" si="14"/>
        <v>51.800000000000004</v>
      </c>
    </row>
    <row r="261" spans="8:17" x14ac:dyDescent="0.15">
      <c r="H261">
        <v>260</v>
      </c>
      <c r="I261" t="s">
        <v>78</v>
      </c>
      <c r="J261">
        <v>1570</v>
      </c>
      <c r="K261">
        <v>452128</v>
      </c>
      <c r="O261">
        <f t="shared" si="12"/>
        <v>20.010127388535029</v>
      </c>
      <c r="P261">
        <f t="shared" si="13"/>
        <v>127.38853503184714</v>
      </c>
      <c r="Q261">
        <f t="shared" si="14"/>
        <v>52</v>
      </c>
    </row>
    <row r="262" spans="8:17" x14ac:dyDescent="0.15">
      <c r="H262">
        <v>261</v>
      </c>
      <c r="I262" t="s">
        <v>78</v>
      </c>
      <c r="J262">
        <v>1570</v>
      </c>
      <c r="K262">
        <v>453698</v>
      </c>
      <c r="O262">
        <f t="shared" si="12"/>
        <v>20.010127388535029</v>
      </c>
      <c r="P262">
        <f t="shared" si="13"/>
        <v>127.38853503184714</v>
      </c>
      <c r="Q262">
        <f t="shared" si="14"/>
        <v>52.2</v>
      </c>
    </row>
    <row r="263" spans="8:17" x14ac:dyDescent="0.15">
      <c r="H263">
        <v>262</v>
      </c>
      <c r="I263" t="s">
        <v>78</v>
      </c>
      <c r="J263">
        <v>1570</v>
      </c>
      <c r="K263">
        <v>455268</v>
      </c>
      <c r="O263">
        <f t="shared" si="12"/>
        <v>20.010127388535029</v>
      </c>
      <c r="P263">
        <f t="shared" si="13"/>
        <v>127.38853503184714</v>
      </c>
      <c r="Q263">
        <f t="shared" si="14"/>
        <v>52.400000000000006</v>
      </c>
    </row>
    <row r="264" spans="8:17" x14ac:dyDescent="0.15">
      <c r="H264">
        <v>263</v>
      </c>
      <c r="I264" t="s">
        <v>78</v>
      </c>
      <c r="J264">
        <v>1570</v>
      </c>
      <c r="K264">
        <v>456838</v>
      </c>
      <c r="O264">
        <f t="shared" si="12"/>
        <v>20.010127388535029</v>
      </c>
      <c r="P264">
        <f t="shared" si="13"/>
        <v>127.38853503184714</v>
      </c>
      <c r="Q264">
        <f t="shared" si="14"/>
        <v>52.6</v>
      </c>
    </row>
    <row r="265" spans="8:17" x14ac:dyDescent="0.15">
      <c r="H265">
        <v>264</v>
      </c>
      <c r="I265" t="s">
        <v>78</v>
      </c>
      <c r="J265">
        <v>1570</v>
      </c>
      <c r="K265">
        <v>458408</v>
      </c>
      <c r="O265">
        <f t="shared" si="12"/>
        <v>20.010127388535029</v>
      </c>
      <c r="P265">
        <f t="shared" si="13"/>
        <v>127.38853503184714</v>
      </c>
      <c r="Q265">
        <f t="shared" si="14"/>
        <v>52.800000000000004</v>
      </c>
    </row>
    <row r="266" spans="8:17" x14ac:dyDescent="0.15">
      <c r="H266">
        <v>265</v>
      </c>
      <c r="I266" t="s">
        <v>78</v>
      </c>
      <c r="J266">
        <v>1570</v>
      </c>
      <c r="K266">
        <v>459978</v>
      </c>
      <c r="O266">
        <f t="shared" si="12"/>
        <v>20.010127388535029</v>
      </c>
      <c r="P266">
        <f t="shared" si="13"/>
        <v>127.38853503184714</v>
      </c>
      <c r="Q266">
        <f t="shared" si="14"/>
        <v>53</v>
      </c>
    </row>
    <row r="267" spans="8:17" x14ac:dyDescent="0.15">
      <c r="H267">
        <v>266</v>
      </c>
      <c r="I267" t="s">
        <v>78</v>
      </c>
      <c r="J267">
        <v>1570</v>
      </c>
      <c r="K267">
        <v>461548</v>
      </c>
      <c r="O267">
        <f t="shared" si="12"/>
        <v>20.010127388535029</v>
      </c>
      <c r="P267">
        <f t="shared" si="13"/>
        <v>127.38853503184714</v>
      </c>
      <c r="Q267">
        <f t="shared" si="14"/>
        <v>53.2</v>
      </c>
    </row>
    <row r="268" spans="8:17" x14ac:dyDescent="0.15">
      <c r="H268">
        <v>267</v>
      </c>
      <c r="I268" t="s">
        <v>78</v>
      </c>
      <c r="J268">
        <v>1570</v>
      </c>
      <c r="K268">
        <v>463118</v>
      </c>
      <c r="O268">
        <f t="shared" si="12"/>
        <v>20.010127388535029</v>
      </c>
      <c r="P268">
        <f t="shared" si="13"/>
        <v>127.38853503184714</v>
      </c>
      <c r="Q268">
        <f t="shared" si="14"/>
        <v>53.400000000000006</v>
      </c>
    </row>
    <row r="269" spans="8:17" x14ac:dyDescent="0.15">
      <c r="H269">
        <v>268</v>
      </c>
      <c r="I269" t="s">
        <v>78</v>
      </c>
      <c r="J269">
        <v>1570</v>
      </c>
      <c r="K269">
        <v>464688</v>
      </c>
      <c r="O269">
        <f t="shared" si="12"/>
        <v>20.010127388535029</v>
      </c>
      <c r="P269">
        <f t="shared" si="13"/>
        <v>127.38853503184714</v>
      </c>
      <c r="Q269">
        <f t="shared" si="14"/>
        <v>53.6</v>
      </c>
    </row>
    <row r="270" spans="8:17" x14ac:dyDescent="0.15">
      <c r="H270">
        <v>269</v>
      </c>
      <c r="I270" t="s">
        <v>78</v>
      </c>
      <c r="J270">
        <v>1570</v>
      </c>
      <c r="K270">
        <v>466258</v>
      </c>
      <c r="O270">
        <f t="shared" si="12"/>
        <v>20.010127388535029</v>
      </c>
      <c r="P270">
        <f t="shared" si="13"/>
        <v>127.38853503184714</v>
      </c>
      <c r="Q270">
        <f t="shared" si="14"/>
        <v>53.800000000000004</v>
      </c>
    </row>
    <row r="271" spans="8:17" x14ac:dyDescent="0.15">
      <c r="H271">
        <v>270</v>
      </c>
      <c r="I271" t="s">
        <v>78</v>
      </c>
      <c r="J271">
        <v>1570</v>
      </c>
      <c r="K271">
        <v>467828</v>
      </c>
      <c r="O271">
        <f t="shared" si="12"/>
        <v>20.010127388535029</v>
      </c>
      <c r="P271">
        <f t="shared" si="13"/>
        <v>127.38853503184714</v>
      </c>
      <c r="Q271">
        <f t="shared" si="14"/>
        <v>54</v>
      </c>
    </row>
    <row r="272" spans="8:17" x14ac:dyDescent="0.15">
      <c r="H272">
        <v>271</v>
      </c>
      <c r="I272" t="s">
        <v>78</v>
      </c>
      <c r="J272">
        <v>1570</v>
      </c>
      <c r="K272">
        <v>469398</v>
      </c>
      <c r="O272">
        <f t="shared" si="12"/>
        <v>20.010127388535029</v>
      </c>
      <c r="P272">
        <f t="shared" si="13"/>
        <v>127.38853503184714</v>
      </c>
      <c r="Q272">
        <f t="shared" si="14"/>
        <v>54.2</v>
      </c>
    </row>
    <row r="273" spans="8:17" x14ac:dyDescent="0.15">
      <c r="H273">
        <v>272</v>
      </c>
      <c r="I273" t="s">
        <v>78</v>
      </c>
      <c r="J273">
        <v>1570</v>
      </c>
      <c r="K273">
        <v>470968</v>
      </c>
      <c r="O273">
        <f t="shared" si="12"/>
        <v>20.010127388535029</v>
      </c>
      <c r="P273">
        <f t="shared" si="13"/>
        <v>127.38853503184714</v>
      </c>
      <c r="Q273">
        <f t="shared" si="14"/>
        <v>54.400000000000006</v>
      </c>
    </row>
    <row r="274" spans="8:17" x14ac:dyDescent="0.15">
      <c r="H274">
        <v>273</v>
      </c>
      <c r="I274" t="s">
        <v>78</v>
      </c>
      <c r="J274">
        <v>1570</v>
      </c>
      <c r="K274">
        <v>472538</v>
      </c>
      <c r="O274">
        <f t="shared" si="12"/>
        <v>20.010127388535029</v>
      </c>
      <c r="P274">
        <f t="shared" si="13"/>
        <v>127.38853503184714</v>
      </c>
      <c r="Q274">
        <f t="shared" si="14"/>
        <v>54.6</v>
      </c>
    </row>
    <row r="275" spans="8:17" x14ac:dyDescent="0.15">
      <c r="H275">
        <v>274</v>
      </c>
      <c r="I275" t="s">
        <v>78</v>
      </c>
      <c r="J275">
        <v>1570</v>
      </c>
      <c r="K275">
        <v>474108</v>
      </c>
      <c r="O275">
        <f t="shared" si="12"/>
        <v>20.010127388535029</v>
      </c>
      <c r="P275">
        <f t="shared" si="13"/>
        <v>127.38853503184714</v>
      </c>
      <c r="Q275">
        <f t="shared" si="14"/>
        <v>54.800000000000004</v>
      </c>
    </row>
    <row r="276" spans="8:17" x14ac:dyDescent="0.15">
      <c r="H276">
        <v>275</v>
      </c>
      <c r="I276" t="s">
        <v>78</v>
      </c>
      <c r="J276">
        <v>1570</v>
      </c>
      <c r="K276">
        <v>475678</v>
      </c>
      <c r="O276">
        <f t="shared" si="12"/>
        <v>20.010127388535029</v>
      </c>
      <c r="P276">
        <f t="shared" si="13"/>
        <v>127.38853503184714</v>
      </c>
      <c r="Q276">
        <f t="shared" si="14"/>
        <v>55</v>
      </c>
    </row>
    <row r="277" spans="8:17" x14ac:dyDescent="0.15">
      <c r="H277">
        <v>276</v>
      </c>
      <c r="I277" t="s">
        <v>78</v>
      </c>
      <c r="J277">
        <v>1570</v>
      </c>
      <c r="K277">
        <v>477248</v>
      </c>
      <c r="O277">
        <f t="shared" si="12"/>
        <v>20.010127388535029</v>
      </c>
      <c r="P277">
        <f t="shared" si="13"/>
        <v>127.38853503184714</v>
      </c>
      <c r="Q277">
        <f t="shared" si="14"/>
        <v>55.2</v>
      </c>
    </row>
    <row r="278" spans="8:17" x14ac:dyDescent="0.15">
      <c r="H278">
        <v>277</v>
      </c>
      <c r="I278" t="s">
        <v>78</v>
      </c>
      <c r="J278">
        <v>1570</v>
      </c>
      <c r="K278">
        <v>478818</v>
      </c>
      <c r="O278">
        <f t="shared" si="12"/>
        <v>20.010127388535029</v>
      </c>
      <c r="P278">
        <f t="shared" si="13"/>
        <v>127.38853503184714</v>
      </c>
      <c r="Q278">
        <f t="shared" si="14"/>
        <v>55.400000000000006</v>
      </c>
    </row>
    <row r="279" spans="8:17" x14ac:dyDescent="0.15">
      <c r="H279">
        <v>278</v>
      </c>
      <c r="I279" t="s">
        <v>78</v>
      </c>
      <c r="J279">
        <v>1570</v>
      </c>
      <c r="K279">
        <v>480388</v>
      </c>
      <c r="O279">
        <f t="shared" si="12"/>
        <v>20.010127388535029</v>
      </c>
      <c r="P279">
        <f t="shared" si="13"/>
        <v>127.38853503184714</v>
      </c>
      <c r="Q279">
        <f t="shared" si="14"/>
        <v>55.6</v>
      </c>
    </row>
    <row r="280" spans="8:17" x14ac:dyDescent="0.15">
      <c r="H280">
        <v>279</v>
      </c>
      <c r="I280" t="s">
        <v>78</v>
      </c>
      <c r="J280">
        <v>1570</v>
      </c>
      <c r="K280">
        <v>481958</v>
      </c>
      <c r="O280">
        <f t="shared" si="12"/>
        <v>20.010127388535029</v>
      </c>
      <c r="P280">
        <f t="shared" si="13"/>
        <v>127.38853503184714</v>
      </c>
      <c r="Q280">
        <f t="shared" si="14"/>
        <v>55.800000000000004</v>
      </c>
    </row>
    <row r="281" spans="8:17" x14ac:dyDescent="0.15">
      <c r="H281">
        <v>280</v>
      </c>
      <c r="I281" t="s">
        <v>78</v>
      </c>
      <c r="J281">
        <v>1570</v>
      </c>
      <c r="K281">
        <v>483528</v>
      </c>
      <c r="O281">
        <f t="shared" si="12"/>
        <v>20.010127388535029</v>
      </c>
      <c r="P281">
        <f t="shared" si="13"/>
        <v>127.38853503184714</v>
      </c>
      <c r="Q281">
        <f t="shared" si="14"/>
        <v>56</v>
      </c>
    </row>
    <row r="282" spans="8:17" x14ac:dyDescent="0.15">
      <c r="H282">
        <v>281</v>
      </c>
      <c r="I282" t="s">
        <v>78</v>
      </c>
      <c r="J282">
        <v>1570</v>
      </c>
      <c r="K282">
        <v>485098</v>
      </c>
      <c r="O282">
        <f t="shared" si="12"/>
        <v>20.010127388535029</v>
      </c>
      <c r="P282">
        <f t="shared" si="13"/>
        <v>127.38853503184714</v>
      </c>
      <c r="Q282">
        <f t="shared" si="14"/>
        <v>56.2</v>
      </c>
    </row>
    <row r="283" spans="8:17" x14ac:dyDescent="0.15">
      <c r="H283">
        <v>282</v>
      </c>
      <c r="I283" t="s">
        <v>78</v>
      </c>
      <c r="J283">
        <v>1570</v>
      </c>
      <c r="K283">
        <v>486668</v>
      </c>
      <c r="O283">
        <f t="shared" si="12"/>
        <v>20.010127388535029</v>
      </c>
      <c r="P283">
        <f t="shared" si="13"/>
        <v>127.38853503184714</v>
      </c>
      <c r="Q283">
        <f t="shared" si="14"/>
        <v>56.400000000000006</v>
      </c>
    </row>
    <row r="284" spans="8:17" x14ac:dyDescent="0.15">
      <c r="H284">
        <v>283</v>
      </c>
      <c r="I284" t="s">
        <v>78</v>
      </c>
      <c r="J284">
        <v>1570</v>
      </c>
      <c r="K284">
        <v>488238</v>
      </c>
      <c r="O284">
        <f t="shared" si="12"/>
        <v>20.010127388535029</v>
      </c>
      <c r="P284">
        <f t="shared" si="13"/>
        <v>127.38853503184714</v>
      </c>
      <c r="Q284">
        <f t="shared" si="14"/>
        <v>56.6</v>
      </c>
    </row>
    <row r="285" spans="8:17" x14ac:dyDescent="0.15">
      <c r="H285">
        <v>284</v>
      </c>
      <c r="I285" t="s">
        <v>78</v>
      </c>
      <c r="J285">
        <v>1570</v>
      </c>
      <c r="K285">
        <v>489808</v>
      </c>
      <c r="O285">
        <f t="shared" si="12"/>
        <v>20.010127388535029</v>
      </c>
      <c r="P285">
        <f t="shared" si="13"/>
        <v>127.38853503184714</v>
      </c>
      <c r="Q285">
        <f t="shared" si="14"/>
        <v>56.800000000000004</v>
      </c>
    </row>
    <row r="286" spans="8:17" x14ac:dyDescent="0.15">
      <c r="H286">
        <v>285</v>
      </c>
      <c r="I286" t="s">
        <v>78</v>
      </c>
      <c r="J286">
        <v>1570</v>
      </c>
      <c r="K286">
        <v>491378</v>
      </c>
      <c r="O286">
        <f t="shared" si="12"/>
        <v>20.010127388535029</v>
      </c>
      <c r="P286">
        <f t="shared" si="13"/>
        <v>127.38853503184714</v>
      </c>
      <c r="Q286">
        <f t="shared" si="14"/>
        <v>57</v>
      </c>
    </row>
    <row r="287" spans="8:17" x14ac:dyDescent="0.15">
      <c r="H287">
        <v>286</v>
      </c>
      <c r="I287" t="s">
        <v>78</v>
      </c>
      <c r="J287">
        <v>1570</v>
      </c>
      <c r="K287">
        <v>492948</v>
      </c>
      <c r="O287">
        <f t="shared" si="12"/>
        <v>20.010127388535029</v>
      </c>
      <c r="P287">
        <f t="shared" si="13"/>
        <v>127.38853503184714</v>
      </c>
      <c r="Q287">
        <f t="shared" si="14"/>
        <v>57.2</v>
      </c>
    </row>
    <row r="288" spans="8:17" x14ac:dyDescent="0.15">
      <c r="H288">
        <v>287</v>
      </c>
      <c r="I288" t="s">
        <v>78</v>
      </c>
      <c r="J288">
        <v>1570</v>
      </c>
      <c r="K288">
        <v>494518</v>
      </c>
      <c r="O288">
        <f t="shared" si="12"/>
        <v>20.010127388535029</v>
      </c>
      <c r="P288">
        <f t="shared" si="13"/>
        <v>127.38853503184714</v>
      </c>
      <c r="Q288">
        <f t="shared" si="14"/>
        <v>57.400000000000006</v>
      </c>
    </row>
    <row r="289" spans="8:17" x14ac:dyDescent="0.15">
      <c r="H289">
        <v>288</v>
      </c>
      <c r="I289" t="s">
        <v>78</v>
      </c>
      <c r="J289">
        <v>1570</v>
      </c>
      <c r="K289">
        <v>496088</v>
      </c>
      <c r="O289">
        <f t="shared" si="12"/>
        <v>20.010127388535029</v>
      </c>
      <c r="P289">
        <f t="shared" si="13"/>
        <v>127.38853503184714</v>
      </c>
      <c r="Q289">
        <f t="shared" si="14"/>
        <v>57.6</v>
      </c>
    </row>
    <row r="290" spans="8:17" x14ac:dyDescent="0.15">
      <c r="H290">
        <v>289</v>
      </c>
      <c r="I290" t="s">
        <v>78</v>
      </c>
      <c r="J290">
        <v>1570</v>
      </c>
      <c r="K290">
        <v>497658</v>
      </c>
      <c r="O290">
        <f t="shared" si="12"/>
        <v>20.010127388535029</v>
      </c>
      <c r="P290">
        <f t="shared" si="13"/>
        <v>127.38853503184714</v>
      </c>
      <c r="Q290">
        <f t="shared" si="14"/>
        <v>57.800000000000004</v>
      </c>
    </row>
    <row r="291" spans="8:17" x14ac:dyDescent="0.15">
      <c r="H291">
        <v>290</v>
      </c>
      <c r="I291" t="s">
        <v>78</v>
      </c>
      <c r="J291">
        <v>1570</v>
      </c>
      <c r="K291">
        <v>499228</v>
      </c>
      <c r="O291">
        <f t="shared" si="12"/>
        <v>20.010127388535029</v>
      </c>
      <c r="P291">
        <f t="shared" si="13"/>
        <v>127.38853503184714</v>
      </c>
      <c r="Q291">
        <f t="shared" si="14"/>
        <v>58</v>
      </c>
    </row>
    <row r="292" spans="8:17" x14ac:dyDescent="0.15">
      <c r="H292">
        <v>291</v>
      </c>
      <c r="I292" t="s">
        <v>78</v>
      </c>
      <c r="J292">
        <v>1570</v>
      </c>
      <c r="K292">
        <v>500798</v>
      </c>
      <c r="O292">
        <f t="shared" si="12"/>
        <v>20.010127388535029</v>
      </c>
      <c r="P292">
        <f t="shared" si="13"/>
        <v>127.38853503184714</v>
      </c>
      <c r="Q292">
        <f t="shared" si="14"/>
        <v>58.2</v>
      </c>
    </row>
    <row r="293" spans="8:17" x14ac:dyDescent="0.15">
      <c r="H293">
        <v>292</v>
      </c>
      <c r="I293" t="s">
        <v>78</v>
      </c>
      <c r="J293">
        <v>1570</v>
      </c>
      <c r="K293">
        <v>502368</v>
      </c>
      <c r="O293">
        <f t="shared" si="12"/>
        <v>20.010127388535029</v>
      </c>
      <c r="P293">
        <f t="shared" si="13"/>
        <v>127.38853503184714</v>
      </c>
      <c r="Q293">
        <f t="shared" si="14"/>
        <v>58.400000000000006</v>
      </c>
    </row>
    <row r="294" spans="8:17" x14ac:dyDescent="0.15">
      <c r="H294">
        <v>293</v>
      </c>
      <c r="I294" t="s">
        <v>78</v>
      </c>
      <c r="J294">
        <v>1570</v>
      </c>
      <c r="K294">
        <v>503938</v>
      </c>
      <c r="O294">
        <f t="shared" si="12"/>
        <v>20.010127388535029</v>
      </c>
      <c r="P294">
        <f t="shared" si="13"/>
        <v>127.38853503184714</v>
      </c>
      <c r="Q294">
        <f t="shared" si="14"/>
        <v>58.6</v>
      </c>
    </row>
    <row r="295" spans="8:17" x14ac:dyDescent="0.15">
      <c r="H295">
        <v>294</v>
      </c>
      <c r="I295" t="s">
        <v>78</v>
      </c>
      <c r="J295">
        <v>1570</v>
      </c>
      <c r="K295">
        <v>505508</v>
      </c>
      <c r="O295">
        <f t="shared" si="12"/>
        <v>20.010127388535029</v>
      </c>
      <c r="P295">
        <f t="shared" si="13"/>
        <v>127.38853503184714</v>
      </c>
      <c r="Q295">
        <f t="shared" si="14"/>
        <v>58.800000000000004</v>
      </c>
    </row>
    <row r="296" spans="8:17" x14ac:dyDescent="0.15">
      <c r="H296">
        <v>295</v>
      </c>
      <c r="I296" t="s">
        <v>78</v>
      </c>
      <c r="J296">
        <v>1570</v>
      </c>
      <c r="K296">
        <v>507078</v>
      </c>
      <c r="O296">
        <f t="shared" si="12"/>
        <v>20.010127388535029</v>
      </c>
      <c r="P296">
        <f t="shared" si="13"/>
        <v>127.38853503184714</v>
      </c>
      <c r="Q296">
        <f t="shared" si="14"/>
        <v>59</v>
      </c>
    </row>
    <row r="297" spans="8:17" x14ac:dyDescent="0.15">
      <c r="H297">
        <v>296</v>
      </c>
      <c r="I297" t="s">
        <v>78</v>
      </c>
      <c r="J297">
        <v>1570</v>
      </c>
      <c r="K297">
        <v>508648</v>
      </c>
      <c r="O297">
        <f t="shared" si="12"/>
        <v>20.010127388535029</v>
      </c>
      <c r="P297">
        <f t="shared" si="13"/>
        <v>127.38853503184714</v>
      </c>
      <c r="Q297">
        <f t="shared" si="14"/>
        <v>59.2</v>
      </c>
    </row>
    <row r="298" spans="8:17" x14ac:dyDescent="0.15">
      <c r="H298">
        <v>297</v>
      </c>
      <c r="I298" t="s">
        <v>78</v>
      </c>
      <c r="J298">
        <v>1570</v>
      </c>
      <c r="K298">
        <v>510218</v>
      </c>
      <c r="O298">
        <f t="shared" si="12"/>
        <v>20.010127388535029</v>
      </c>
      <c r="P298">
        <f t="shared" si="13"/>
        <v>127.38853503184714</v>
      </c>
      <c r="Q298">
        <f t="shared" si="14"/>
        <v>59.400000000000006</v>
      </c>
    </row>
    <row r="299" spans="8:17" x14ac:dyDescent="0.15">
      <c r="H299">
        <v>298</v>
      </c>
      <c r="I299" t="s">
        <v>78</v>
      </c>
      <c r="J299">
        <v>1570</v>
      </c>
      <c r="K299">
        <v>511788</v>
      </c>
      <c r="O299">
        <f t="shared" si="12"/>
        <v>20.010127388535029</v>
      </c>
      <c r="P299">
        <f t="shared" si="13"/>
        <v>127.38853503184714</v>
      </c>
      <c r="Q299">
        <f t="shared" si="14"/>
        <v>59.6</v>
      </c>
    </row>
    <row r="300" spans="8:17" x14ac:dyDescent="0.15">
      <c r="H300">
        <v>299</v>
      </c>
      <c r="I300" t="s">
        <v>78</v>
      </c>
      <c r="J300">
        <v>1570</v>
      </c>
      <c r="K300">
        <v>513358</v>
      </c>
      <c r="O300">
        <f t="shared" si="12"/>
        <v>20.010127388535029</v>
      </c>
      <c r="P300">
        <f t="shared" si="13"/>
        <v>127.38853503184714</v>
      </c>
      <c r="Q300">
        <f t="shared" si="14"/>
        <v>59.800000000000004</v>
      </c>
    </row>
    <row r="301" spans="8:17" x14ac:dyDescent="0.15">
      <c r="H301">
        <v>300</v>
      </c>
      <c r="I301" t="s">
        <v>78</v>
      </c>
      <c r="J301">
        <v>1570</v>
      </c>
      <c r="K301">
        <v>514928</v>
      </c>
      <c r="O301">
        <f t="shared" si="12"/>
        <v>20.010127388535029</v>
      </c>
      <c r="P301">
        <f t="shared" si="13"/>
        <v>127.38853503184714</v>
      </c>
      <c r="Q301">
        <f t="shared" si="14"/>
        <v>60</v>
      </c>
    </row>
    <row r="302" spans="8:17" x14ac:dyDescent="0.15">
      <c r="H302">
        <v>301</v>
      </c>
      <c r="I302" t="s">
        <v>78</v>
      </c>
      <c r="J302">
        <v>1570</v>
      </c>
      <c r="K302">
        <v>516498</v>
      </c>
      <c r="O302">
        <f t="shared" si="12"/>
        <v>20.010127388535029</v>
      </c>
      <c r="P302">
        <f t="shared" si="13"/>
        <v>127.38853503184714</v>
      </c>
      <c r="Q302">
        <f t="shared" si="14"/>
        <v>60.2</v>
      </c>
    </row>
    <row r="303" spans="8:17" x14ac:dyDescent="0.15">
      <c r="H303">
        <v>302</v>
      </c>
      <c r="I303" t="s">
        <v>78</v>
      </c>
      <c r="J303">
        <v>1570</v>
      </c>
      <c r="K303">
        <v>518068</v>
      </c>
      <c r="O303">
        <f t="shared" si="12"/>
        <v>20.010127388535029</v>
      </c>
      <c r="P303">
        <f t="shared" si="13"/>
        <v>127.38853503184714</v>
      </c>
      <c r="Q303">
        <f t="shared" si="14"/>
        <v>60.400000000000006</v>
      </c>
    </row>
    <row r="304" spans="8:17" x14ac:dyDescent="0.15">
      <c r="H304">
        <v>303</v>
      </c>
      <c r="I304" t="s">
        <v>78</v>
      </c>
      <c r="J304">
        <v>1570</v>
      </c>
      <c r="K304">
        <v>519638</v>
      </c>
      <c r="O304">
        <f t="shared" si="12"/>
        <v>20.010127388535029</v>
      </c>
      <c r="P304">
        <f t="shared" si="13"/>
        <v>127.38853503184714</v>
      </c>
      <c r="Q304">
        <f t="shared" si="14"/>
        <v>60.6</v>
      </c>
    </row>
    <row r="305" spans="8:17" x14ac:dyDescent="0.15">
      <c r="H305">
        <v>304</v>
      </c>
      <c r="I305" t="s">
        <v>78</v>
      </c>
      <c r="J305">
        <v>1570</v>
      </c>
      <c r="K305">
        <v>521208</v>
      </c>
      <c r="O305">
        <f t="shared" si="12"/>
        <v>20.010127388535029</v>
      </c>
      <c r="P305">
        <f t="shared" si="13"/>
        <v>127.38853503184714</v>
      </c>
      <c r="Q305">
        <f t="shared" si="14"/>
        <v>60.800000000000004</v>
      </c>
    </row>
    <row r="306" spans="8:17" x14ac:dyDescent="0.15">
      <c r="H306">
        <v>305</v>
      </c>
      <c r="I306" t="s">
        <v>78</v>
      </c>
      <c r="J306">
        <v>1570</v>
      </c>
      <c r="K306">
        <v>522778</v>
      </c>
      <c r="O306">
        <f t="shared" si="12"/>
        <v>20.010127388535029</v>
      </c>
      <c r="P306">
        <f t="shared" si="13"/>
        <v>127.38853503184714</v>
      </c>
      <c r="Q306">
        <f t="shared" si="14"/>
        <v>61</v>
      </c>
    </row>
    <row r="307" spans="8:17" x14ac:dyDescent="0.15">
      <c r="H307">
        <v>306</v>
      </c>
      <c r="I307" t="s">
        <v>78</v>
      </c>
      <c r="J307">
        <v>1570</v>
      </c>
      <c r="K307">
        <v>524348</v>
      </c>
      <c r="O307">
        <f t="shared" si="12"/>
        <v>20.010127388535029</v>
      </c>
      <c r="P307">
        <f t="shared" si="13"/>
        <v>127.38853503184714</v>
      </c>
      <c r="Q307">
        <f t="shared" si="14"/>
        <v>61.2</v>
      </c>
    </row>
    <row r="308" spans="8:17" x14ac:dyDescent="0.15">
      <c r="H308">
        <v>307</v>
      </c>
      <c r="I308" t="s">
        <v>78</v>
      </c>
      <c r="J308">
        <v>1570</v>
      </c>
      <c r="K308">
        <v>525918</v>
      </c>
      <c r="O308">
        <f t="shared" si="12"/>
        <v>20.010127388535029</v>
      </c>
      <c r="P308">
        <f t="shared" si="13"/>
        <v>127.38853503184714</v>
      </c>
      <c r="Q308">
        <f t="shared" si="14"/>
        <v>61.400000000000006</v>
      </c>
    </row>
    <row r="309" spans="8:17" x14ac:dyDescent="0.15">
      <c r="H309">
        <v>308</v>
      </c>
      <c r="I309" t="s">
        <v>78</v>
      </c>
      <c r="J309">
        <v>1570</v>
      </c>
      <c r="K309">
        <v>527488</v>
      </c>
      <c r="O309">
        <f t="shared" si="12"/>
        <v>20.010127388535029</v>
      </c>
      <c r="P309">
        <f t="shared" si="13"/>
        <v>127.38853503184714</v>
      </c>
      <c r="Q309">
        <f t="shared" si="14"/>
        <v>61.6</v>
      </c>
    </row>
    <row r="310" spans="8:17" x14ac:dyDescent="0.15">
      <c r="H310">
        <v>309</v>
      </c>
      <c r="I310" t="s">
        <v>78</v>
      </c>
      <c r="J310">
        <v>1570</v>
      </c>
      <c r="K310">
        <v>529058</v>
      </c>
      <c r="O310">
        <f t="shared" si="12"/>
        <v>20.010127388535029</v>
      </c>
      <c r="P310">
        <f t="shared" si="13"/>
        <v>127.38853503184714</v>
      </c>
      <c r="Q310">
        <f t="shared" si="14"/>
        <v>61.800000000000004</v>
      </c>
    </row>
    <row r="311" spans="8:17" x14ac:dyDescent="0.15">
      <c r="H311">
        <v>310</v>
      </c>
      <c r="I311" t="s">
        <v>78</v>
      </c>
      <c r="J311">
        <v>1570</v>
      </c>
      <c r="K311">
        <v>530628</v>
      </c>
      <c r="O311">
        <f t="shared" si="12"/>
        <v>20.010127388535029</v>
      </c>
      <c r="P311">
        <f t="shared" si="13"/>
        <v>127.38853503184714</v>
      </c>
      <c r="Q311">
        <f t="shared" si="14"/>
        <v>62</v>
      </c>
    </row>
    <row r="312" spans="8:17" x14ac:dyDescent="0.15">
      <c r="H312">
        <v>311</v>
      </c>
      <c r="I312" t="s">
        <v>78</v>
      </c>
      <c r="J312">
        <v>1570</v>
      </c>
      <c r="K312">
        <v>532198</v>
      </c>
      <c r="O312">
        <f t="shared" si="12"/>
        <v>20.010127388535029</v>
      </c>
      <c r="P312">
        <f t="shared" si="13"/>
        <v>127.38853503184714</v>
      </c>
      <c r="Q312">
        <f t="shared" si="14"/>
        <v>62.2</v>
      </c>
    </row>
    <row r="313" spans="8:17" x14ac:dyDescent="0.15">
      <c r="H313">
        <v>312</v>
      </c>
      <c r="I313" t="s">
        <v>78</v>
      </c>
      <c r="J313">
        <v>1570</v>
      </c>
      <c r="K313">
        <v>533768</v>
      </c>
      <c r="O313">
        <f t="shared" si="12"/>
        <v>20.010127388535029</v>
      </c>
      <c r="P313">
        <f t="shared" si="13"/>
        <v>127.38853503184714</v>
      </c>
      <c r="Q313">
        <f t="shared" si="14"/>
        <v>62.400000000000006</v>
      </c>
    </row>
    <row r="314" spans="8:17" x14ac:dyDescent="0.15">
      <c r="H314">
        <v>313</v>
      </c>
      <c r="I314" t="s">
        <v>78</v>
      </c>
      <c r="J314">
        <v>1570</v>
      </c>
      <c r="K314">
        <v>535338</v>
      </c>
      <c r="O314">
        <f t="shared" si="12"/>
        <v>20.010127388535029</v>
      </c>
      <c r="P314">
        <f t="shared" si="13"/>
        <v>127.38853503184714</v>
      </c>
      <c r="Q314">
        <f t="shared" si="14"/>
        <v>62.6</v>
      </c>
    </row>
    <row r="315" spans="8:17" x14ac:dyDescent="0.15">
      <c r="H315">
        <v>314</v>
      </c>
      <c r="I315" t="s">
        <v>78</v>
      </c>
      <c r="J315">
        <v>1570</v>
      </c>
      <c r="K315">
        <v>536908</v>
      </c>
      <c r="O315">
        <f t="shared" si="12"/>
        <v>20.010127388535029</v>
      </c>
      <c r="P315">
        <f t="shared" si="13"/>
        <v>127.38853503184714</v>
      </c>
      <c r="Q315">
        <f t="shared" si="14"/>
        <v>62.800000000000004</v>
      </c>
    </row>
    <row r="316" spans="8:17" x14ac:dyDescent="0.15">
      <c r="H316">
        <v>315</v>
      </c>
      <c r="I316" t="s">
        <v>78</v>
      </c>
      <c r="J316">
        <v>1570</v>
      </c>
      <c r="K316">
        <v>538478</v>
      </c>
      <c r="O316">
        <f t="shared" si="12"/>
        <v>20.010127388535029</v>
      </c>
      <c r="P316">
        <f t="shared" si="13"/>
        <v>127.38853503184714</v>
      </c>
      <c r="Q316">
        <f t="shared" si="14"/>
        <v>63</v>
      </c>
    </row>
    <row r="317" spans="8:17" x14ac:dyDescent="0.15">
      <c r="H317">
        <v>316</v>
      </c>
      <c r="I317" t="s">
        <v>78</v>
      </c>
      <c r="J317">
        <v>1570</v>
      </c>
      <c r="K317">
        <v>540048</v>
      </c>
      <c r="O317">
        <f t="shared" si="12"/>
        <v>20.010127388535029</v>
      </c>
      <c r="P317">
        <f t="shared" si="13"/>
        <v>127.38853503184714</v>
      </c>
      <c r="Q317">
        <f t="shared" si="14"/>
        <v>63.2</v>
      </c>
    </row>
    <row r="318" spans="8:17" x14ac:dyDescent="0.15">
      <c r="H318">
        <v>317</v>
      </c>
      <c r="I318" t="s">
        <v>78</v>
      </c>
      <c r="J318">
        <v>1570</v>
      </c>
      <c r="K318">
        <v>541618</v>
      </c>
      <c r="O318">
        <f t="shared" si="12"/>
        <v>20.010127388535029</v>
      </c>
      <c r="P318">
        <f t="shared" si="13"/>
        <v>127.38853503184714</v>
      </c>
      <c r="Q318">
        <f t="shared" si="14"/>
        <v>63.400000000000006</v>
      </c>
    </row>
    <row r="319" spans="8:17" x14ac:dyDescent="0.15">
      <c r="H319">
        <v>318</v>
      </c>
      <c r="I319" t="s">
        <v>78</v>
      </c>
      <c r="J319">
        <v>1570</v>
      </c>
      <c r="K319">
        <v>543188</v>
      </c>
      <c r="O319">
        <f t="shared" si="12"/>
        <v>20.010127388535029</v>
      </c>
      <c r="P319">
        <f t="shared" si="13"/>
        <v>127.38853503184714</v>
      </c>
      <c r="Q319">
        <f t="shared" si="14"/>
        <v>63.6</v>
      </c>
    </row>
    <row r="320" spans="8:17" x14ac:dyDescent="0.15">
      <c r="H320">
        <v>319</v>
      </c>
      <c r="I320" t="s">
        <v>78</v>
      </c>
      <c r="J320">
        <v>1570</v>
      </c>
      <c r="K320">
        <v>544758</v>
      </c>
      <c r="O320">
        <f t="shared" si="12"/>
        <v>20.010127388535029</v>
      </c>
      <c r="P320">
        <f t="shared" si="13"/>
        <v>127.38853503184714</v>
      </c>
      <c r="Q320">
        <f t="shared" si="14"/>
        <v>63.800000000000004</v>
      </c>
    </row>
    <row r="321" spans="8:17" x14ac:dyDescent="0.15">
      <c r="H321">
        <v>320</v>
      </c>
      <c r="I321" t="s">
        <v>78</v>
      </c>
      <c r="J321">
        <v>1570</v>
      </c>
      <c r="K321">
        <v>546328</v>
      </c>
      <c r="O321">
        <f t="shared" si="12"/>
        <v>20.010127388535029</v>
      </c>
      <c r="P321">
        <f t="shared" si="13"/>
        <v>127.38853503184714</v>
      </c>
      <c r="Q321">
        <f t="shared" si="14"/>
        <v>64</v>
      </c>
    </row>
    <row r="322" spans="8:17" x14ac:dyDescent="0.15">
      <c r="H322">
        <v>321</v>
      </c>
      <c r="I322" t="s">
        <v>78</v>
      </c>
      <c r="J322">
        <v>1570</v>
      </c>
      <c r="K322">
        <v>547898</v>
      </c>
      <c r="O322">
        <f t="shared" si="12"/>
        <v>20.010127388535029</v>
      </c>
      <c r="P322">
        <f t="shared" si="13"/>
        <v>127.38853503184714</v>
      </c>
      <c r="Q322">
        <f t="shared" si="14"/>
        <v>64.2</v>
      </c>
    </row>
    <row r="323" spans="8:17" x14ac:dyDescent="0.15">
      <c r="H323">
        <v>322</v>
      </c>
      <c r="I323" t="s">
        <v>78</v>
      </c>
      <c r="J323">
        <v>1570</v>
      </c>
      <c r="K323">
        <v>549468</v>
      </c>
      <c r="O323">
        <f t="shared" ref="O323:O386" si="15">$C$11/(J323/$C$7)</f>
        <v>20.010127388535029</v>
      </c>
      <c r="P323">
        <f t="shared" ref="P323:P386" si="16">$C$10/(J323/$C$7)</f>
        <v>127.38853503184714</v>
      </c>
      <c r="Q323">
        <f t="shared" ref="Q323:Q386" si="17">H323*$C$10</f>
        <v>64.400000000000006</v>
      </c>
    </row>
    <row r="324" spans="8:17" x14ac:dyDescent="0.15">
      <c r="H324">
        <v>323</v>
      </c>
      <c r="I324" t="s">
        <v>78</v>
      </c>
      <c r="J324">
        <v>1570</v>
      </c>
      <c r="K324">
        <v>551038</v>
      </c>
      <c r="O324">
        <f t="shared" si="15"/>
        <v>20.010127388535029</v>
      </c>
      <c r="P324">
        <f t="shared" si="16"/>
        <v>127.38853503184714</v>
      </c>
      <c r="Q324">
        <f t="shared" si="17"/>
        <v>64.600000000000009</v>
      </c>
    </row>
    <row r="325" spans="8:17" x14ac:dyDescent="0.15">
      <c r="H325">
        <v>324</v>
      </c>
      <c r="I325" t="s">
        <v>78</v>
      </c>
      <c r="J325">
        <v>1570</v>
      </c>
      <c r="K325">
        <v>552608</v>
      </c>
      <c r="O325">
        <f t="shared" si="15"/>
        <v>20.010127388535029</v>
      </c>
      <c r="P325">
        <f t="shared" si="16"/>
        <v>127.38853503184714</v>
      </c>
      <c r="Q325">
        <f t="shared" si="17"/>
        <v>64.8</v>
      </c>
    </row>
    <row r="326" spans="8:17" x14ac:dyDescent="0.15">
      <c r="H326">
        <v>325</v>
      </c>
      <c r="I326" t="s">
        <v>78</v>
      </c>
      <c r="J326">
        <v>1570</v>
      </c>
      <c r="K326">
        <v>554178</v>
      </c>
      <c r="O326">
        <f t="shared" si="15"/>
        <v>20.010127388535029</v>
      </c>
      <c r="P326">
        <f t="shared" si="16"/>
        <v>127.38853503184714</v>
      </c>
      <c r="Q326">
        <f t="shared" si="17"/>
        <v>65</v>
      </c>
    </row>
    <row r="327" spans="8:17" x14ac:dyDescent="0.15">
      <c r="H327">
        <v>326</v>
      </c>
      <c r="I327" t="s">
        <v>78</v>
      </c>
      <c r="J327">
        <v>1570</v>
      </c>
      <c r="K327">
        <v>555748</v>
      </c>
      <c r="O327">
        <f t="shared" si="15"/>
        <v>20.010127388535029</v>
      </c>
      <c r="P327">
        <f t="shared" si="16"/>
        <v>127.38853503184714</v>
      </c>
      <c r="Q327">
        <f t="shared" si="17"/>
        <v>65.2</v>
      </c>
    </row>
    <row r="328" spans="8:17" x14ac:dyDescent="0.15">
      <c r="H328">
        <v>327</v>
      </c>
      <c r="I328" t="s">
        <v>78</v>
      </c>
      <c r="J328">
        <v>1570</v>
      </c>
      <c r="K328">
        <v>557318</v>
      </c>
      <c r="O328">
        <f t="shared" si="15"/>
        <v>20.010127388535029</v>
      </c>
      <c r="P328">
        <f t="shared" si="16"/>
        <v>127.38853503184714</v>
      </c>
      <c r="Q328">
        <f t="shared" si="17"/>
        <v>65.400000000000006</v>
      </c>
    </row>
    <row r="329" spans="8:17" x14ac:dyDescent="0.15">
      <c r="H329">
        <v>328</v>
      </c>
      <c r="I329" t="s">
        <v>78</v>
      </c>
      <c r="J329">
        <v>1570</v>
      </c>
      <c r="K329">
        <v>558888</v>
      </c>
      <c r="O329">
        <f t="shared" si="15"/>
        <v>20.010127388535029</v>
      </c>
      <c r="P329">
        <f t="shared" si="16"/>
        <v>127.38853503184714</v>
      </c>
      <c r="Q329">
        <f t="shared" si="17"/>
        <v>65.600000000000009</v>
      </c>
    </row>
    <row r="330" spans="8:17" x14ac:dyDescent="0.15">
      <c r="H330">
        <v>329</v>
      </c>
      <c r="I330" t="s">
        <v>78</v>
      </c>
      <c r="J330">
        <v>1570</v>
      </c>
      <c r="K330">
        <v>560458</v>
      </c>
      <c r="O330">
        <f t="shared" si="15"/>
        <v>20.010127388535029</v>
      </c>
      <c r="P330">
        <f t="shared" si="16"/>
        <v>127.38853503184714</v>
      </c>
      <c r="Q330">
        <f t="shared" si="17"/>
        <v>65.8</v>
      </c>
    </row>
    <row r="331" spans="8:17" x14ac:dyDescent="0.15">
      <c r="H331">
        <v>330</v>
      </c>
      <c r="I331" t="s">
        <v>78</v>
      </c>
      <c r="J331">
        <v>1570</v>
      </c>
      <c r="K331">
        <v>562028</v>
      </c>
      <c r="O331">
        <f t="shared" si="15"/>
        <v>20.010127388535029</v>
      </c>
      <c r="P331">
        <f t="shared" si="16"/>
        <v>127.38853503184714</v>
      </c>
      <c r="Q331">
        <f t="shared" si="17"/>
        <v>66</v>
      </c>
    </row>
    <row r="332" spans="8:17" x14ac:dyDescent="0.15">
      <c r="H332">
        <v>331</v>
      </c>
      <c r="I332" t="s">
        <v>78</v>
      </c>
      <c r="J332">
        <v>1570</v>
      </c>
      <c r="K332">
        <v>563598</v>
      </c>
      <c r="O332">
        <f t="shared" si="15"/>
        <v>20.010127388535029</v>
      </c>
      <c r="P332">
        <f t="shared" si="16"/>
        <v>127.38853503184714</v>
      </c>
      <c r="Q332">
        <f t="shared" si="17"/>
        <v>66.2</v>
      </c>
    </row>
    <row r="333" spans="8:17" x14ac:dyDescent="0.15">
      <c r="H333">
        <v>332</v>
      </c>
      <c r="I333" t="s">
        <v>78</v>
      </c>
      <c r="J333">
        <v>1570</v>
      </c>
      <c r="K333">
        <v>565168</v>
      </c>
      <c r="O333">
        <f t="shared" si="15"/>
        <v>20.010127388535029</v>
      </c>
      <c r="P333">
        <f t="shared" si="16"/>
        <v>127.38853503184714</v>
      </c>
      <c r="Q333">
        <f t="shared" si="17"/>
        <v>66.400000000000006</v>
      </c>
    </row>
    <row r="334" spans="8:17" x14ac:dyDescent="0.15">
      <c r="H334">
        <v>333</v>
      </c>
      <c r="I334" t="s">
        <v>78</v>
      </c>
      <c r="J334">
        <v>1570</v>
      </c>
      <c r="K334">
        <v>566738</v>
      </c>
      <c r="O334">
        <f t="shared" si="15"/>
        <v>20.010127388535029</v>
      </c>
      <c r="P334">
        <f t="shared" si="16"/>
        <v>127.38853503184714</v>
      </c>
      <c r="Q334">
        <f t="shared" si="17"/>
        <v>66.600000000000009</v>
      </c>
    </row>
    <row r="335" spans="8:17" x14ac:dyDescent="0.15">
      <c r="H335">
        <v>334</v>
      </c>
      <c r="I335" t="s">
        <v>78</v>
      </c>
      <c r="J335">
        <v>1570</v>
      </c>
      <c r="K335">
        <v>568308</v>
      </c>
      <c r="O335">
        <f t="shared" si="15"/>
        <v>20.010127388535029</v>
      </c>
      <c r="P335">
        <f t="shared" si="16"/>
        <v>127.38853503184714</v>
      </c>
      <c r="Q335">
        <f t="shared" si="17"/>
        <v>66.8</v>
      </c>
    </row>
    <row r="336" spans="8:17" x14ac:dyDescent="0.15">
      <c r="H336">
        <v>335</v>
      </c>
      <c r="I336" t="s">
        <v>78</v>
      </c>
      <c r="J336">
        <v>1570</v>
      </c>
      <c r="K336">
        <v>569878</v>
      </c>
      <c r="O336">
        <f t="shared" si="15"/>
        <v>20.010127388535029</v>
      </c>
      <c r="P336">
        <f t="shared" si="16"/>
        <v>127.38853503184714</v>
      </c>
      <c r="Q336">
        <f t="shared" si="17"/>
        <v>67</v>
      </c>
    </row>
    <row r="337" spans="8:17" x14ac:dyDescent="0.15">
      <c r="H337">
        <v>336</v>
      </c>
      <c r="I337" t="s">
        <v>78</v>
      </c>
      <c r="J337">
        <v>1570</v>
      </c>
      <c r="K337">
        <v>571448</v>
      </c>
      <c r="O337">
        <f t="shared" si="15"/>
        <v>20.010127388535029</v>
      </c>
      <c r="P337">
        <f t="shared" si="16"/>
        <v>127.38853503184714</v>
      </c>
      <c r="Q337">
        <f t="shared" si="17"/>
        <v>67.2</v>
      </c>
    </row>
    <row r="338" spans="8:17" x14ac:dyDescent="0.15">
      <c r="H338">
        <v>337</v>
      </c>
      <c r="I338" t="s">
        <v>78</v>
      </c>
      <c r="J338">
        <v>1570</v>
      </c>
      <c r="K338">
        <v>573018</v>
      </c>
      <c r="O338">
        <f t="shared" si="15"/>
        <v>20.010127388535029</v>
      </c>
      <c r="P338">
        <f t="shared" si="16"/>
        <v>127.38853503184714</v>
      </c>
      <c r="Q338">
        <f t="shared" si="17"/>
        <v>67.400000000000006</v>
      </c>
    </row>
    <row r="339" spans="8:17" x14ac:dyDescent="0.15">
      <c r="H339">
        <v>338</v>
      </c>
      <c r="I339" t="s">
        <v>78</v>
      </c>
      <c r="J339">
        <v>1570</v>
      </c>
      <c r="K339">
        <v>574588</v>
      </c>
      <c r="O339">
        <f t="shared" si="15"/>
        <v>20.010127388535029</v>
      </c>
      <c r="P339">
        <f t="shared" si="16"/>
        <v>127.38853503184714</v>
      </c>
      <c r="Q339">
        <f t="shared" si="17"/>
        <v>67.600000000000009</v>
      </c>
    </row>
    <row r="340" spans="8:17" x14ac:dyDescent="0.15">
      <c r="H340">
        <v>339</v>
      </c>
      <c r="I340" t="s">
        <v>78</v>
      </c>
      <c r="J340">
        <v>1570</v>
      </c>
      <c r="K340">
        <v>576158</v>
      </c>
      <c r="O340">
        <f t="shared" si="15"/>
        <v>20.010127388535029</v>
      </c>
      <c r="P340">
        <f t="shared" si="16"/>
        <v>127.38853503184714</v>
      </c>
      <c r="Q340">
        <f t="shared" si="17"/>
        <v>67.8</v>
      </c>
    </row>
    <row r="341" spans="8:17" x14ac:dyDescent="0.15">
      <c r="H341">
        <v>340</v>
      </c>
      <c r="I341" t="s">
        <v>78</v>
      </c>
      <c r="J341">
        <v>1570</v>
      </c>
      <c r="K341">
        <v>577728</v>
      </c>
      <c r="O341">
        <f t="shared" si="15"/>
        <v>20.010127388535029</v>
      </c>
      <c r="P341">
        <f t="shared" si="16"/>
        <v>127.38853503184714</v>
      </c>
      <c r="Q341">
        <f t="shared" si="17"/>
        <v>68</v>
      </c>
    </row>
    <row r="342" spans="8:17" x14ac:dyDescent="0.15">
      <c r="H342">
        <v>341</v>
      </c>
      <c r="I342" t="s">
        <v>78</v>
      </c>
      <c r="J342">
        <v>1570</v>
      </c>
      <c r="K342">
        <v>579298</v>
      </c>
      <c r="O342">
        <f t="shared" si="15"/>
        <v>20.010127388535029</v>
      </c>
      <c r="P342">
        <f t="shared" si="16"/>
        <v>127.38853503184714</v>
      </c>
      <c r="Q342">
        <f t="shared" si="17"/>
        <v>68.2</v>
      </c>
    </row>
    <row r="343" spans="8:17" x14ac:dyDescent="0.15">
      <c r="H343">
        <v>342</v>
      </c>
      <c r="I343" t="s">
        <v>78</v>
      </c>
      <c r="J343">
        <v>1570</v>
      </c>
      <c r="K343">
        <v>580868</v>
      </c>
      <c r="O343">
        <f t="shared" si="15"/>
        <v>20.010127388535029</v>
      </c>
      <c r="P343">
        <f t="shared" si="16"/>
        <v>127.38853503184714</v>
      </c>
      <c r="Q343">
        <f t="shared" si="17"/>
        <v>68.400000000000006</v>
      </c>
    </row>
    <row r="344" spans="8:17" x14ac:dyDescent="0.15">
      <c r="H344">
        <v>343</v>
      </c>
      <c r="I344" t="s">
        <v>78</v>
      </c>
      <c r="J344">
        <v>1570</v>
      </c>
      <c r="K344">
        <v>582438</v>
      </c>
      <c r="O344">
        <f t="shared" si="15"/>
        <v>20.010127388535029</v>
      </c>
      <c r="P344">
        <f t="shared" si="16"/>
        <v>127.38853503184714</v>
      </c>
      <c r="Q344">
        <f t="shared" si="17"/>
        <v>68.600000000000009</v>
      </c>
    </row>
    <row r="345" spans="8:17" x14ac:dyDescent="0.15">
      <c r="H345">
        <v>344</v>
      </c>
      <c r="I345" t="s">
        <v>78</v>
      </c>
      <c r="J345">
        <v>1570</v>
      </c>
      <c r="K345">
        <v>584008</v>
      </c>
      <c r="O345">
        <f t="shared" si="15"/>
        <v>20.010127388535029</v>
      </c>
      <c r="P345">
        <f t="shared" si="16"/>
        <v>127.38853503184714</v>
      </c>
      <c r="Q345">
        <f t="shared" si="17"/>
        <v>68.8</v>
      </c>
    </row>
    <row r="346" spans="8:17" x14ac:dyDescent="0.15">
      <c r="H346">
        <v>345</v>
      </c>
      <c r="I346" t="s">
        <v>78</v>
      </c>
      <c r="J346">
        <v>1570</v>
      </c>
      <c r="K346">
        <v>585578</v>
      </c>
      <c r="O346">
        <f t="shared" si="15"/>
        <v>20.010127388535029</v>
      </c>
      <c r="P346">
        <f t="shared" si="16"/>
        <v>127.38853503184714</v>
      </c>
      <c r="Q346">
        <f t="shared" si="17"/>
        <v>69</v>
      </c>
    </row>
    <row r="347" spans="8:17" x14ac:dyDescent="0.15">
      <c r="H347">
        <v>346</v>
      </c>
      <c r="I347" t="s">
        <v>78</v>
      </c>
      <c r="J347">
        <v>1570</v>
      </c>
      <c r="K347">
        <v>587148</v>
      </c>
      <c r="O347">
        <f t="shared" si="15"/>
        <v>20.010127388535029</v>
      </c>
      <c r="P347">
        <f t="shared" si="16"/>
        <v>127.38853503184714</v>
      </c>
      <c r="Q347">
        <f t="shared" si="17"/>
        <v>69.2</v>
      </c>
    </row>
    <row r="348" spans="8:17" x14ac:dyDescent="0.15">
      <c r="H348">
        <v>347</v>
      </c>
      <c r="I348" t="s">
        <v>78</v>
      </c>
      <c r="J348">
        <v>1570</v>
      </c>
      <c r="K348">
        <v>588718</v>
      </c>
      <c r="O348">
        <f t="shared" si="15"/>
        <v>20.010127388535029</v>
      </c>
      <c r="P348">
        <f t="shared" si="16"/>
        <v>127.38853503184714</v>
      </c>
      <c r="Q348">
        <f t="shared" si="17"/>
        <v>69.400000000000006</v>
      </c>
    </row>
    <row r="349" spans="8:17" x14ac:dyDescent="0.15">
      <c r="H349">
        <v>348</v>
      </c>
      <c r="I349" t="s">
        <v>78</v>
      </c>
      <c r="J349">
        <v>1570</v>
      </c>
      <c r="K349">
        <v>590288</v>
      </c>
      <c r="O349">
        <f t="shared" si="15"/>
        <v>20.010127388535029</v>
      </c>
      <c r="P349">
        <f t="shared" si="16"/>
        <v>127.38853503184714</v>
      </c>
      <c r="Q349">
        <f t="shared" si="17"/>
        <v>69.600000000000009</v>
      </c>
    </row>
    <row r="350" spans="8:17" x14ac:dyDescent="0.15">
      <c r="H350">
        <v>349</v>
      </c>
      <c r="I350" t="s">
        <v>78</v>
      </c>
      <c r="J350">
        <v>1570</v>
      </c>
      <c r="K350">
        <v>591858</v>
      </c>
      <c r="O350">
        <f t="shared" si="15"/>
        <v>20.010127388535029</v>
      </c>
      <c r="P350">
        <f t="shared" si="16"/>
        <v>127.38853503184714</v>
      </c>
      <c r="Q350">
        <f t="shared" si="17"/>
        <v>69.8</v>
      </c>
    </row>
    <row r="351" spans="8:17" x14ac:dyDescent="0.15">
      <c r="H351">
        <v>350</v>
      </c>
      <c r="I351" t="s">
        <v>78</v>
      </c>
      <c r="J351">
        <v>1570</v>
      </c>
      <c r="K351">
        <v>593428</v>
      </c>
      <c r="O351">
        <f t="shared" si="15"/>
        <v>20.010127388535029</v>
      </c>
      <c r="P351">
        <f t="shared" si="16"/>
        <v>127.38853503184714</v>
      </c>
      <c r="Q351">
        <f t="shared" si="17"/>
        <v>70</v>
      </c>
    </row>
    <row r="352" spans="8:17" x14ac:dyDescent="0.15">
      <c r="H352">
        <v>351</v>
      </c>
      <c r="I352" t="s">
        <v>78</v>
      </c>
      <c r="J352">
        <v>1570</v>
      </c>
      <c r="K352">
        <v>594998</v>
      </c>
      <c r="O352">
        <f t="shared" si="15"/>
        <v>20.010127388535029</v>
      </c>
      <c r="P352">
        <f t="shared" si="16"/>
        <v>127.38853503184714</v>
      </c>
      <c r="Q352">
        <f t="shared" si="17"/>
        <v>70.2</v>
      </c>
    </row>
    <row r="353" spans="8:17" x14ac:dyDescent="0.15">
      <c r="H353">
        <v>352</v>
      </c>
      <c r="I353" t="s">
        <v>78</v>
      </c>
      <c r="J353">
        <v>1570</v>
      </c>
      <c r="K353">
        <v>596568</v>
      </c>
      <c r="O353">
        <f t="shared" si="15"/>
        <v>20.010127388535029</v>
      </c>
      <c r="P353">
        <f t="shared" si="16"/>
        <v>127.38853503184714</v>
      </c>
      <c r="Q353">
        <f t="shared" si="17"/>
        <v>70.400000000000006</v>
      </c>
    </row>
    <row r="354" spans="8:17" x14ac:dyDescent="0.15">
      <c r="H354">
        <v>353</v>
      </c>
      <c r="I354" t="s">
        <v>78</v>
      </c>
      <c r="J354">
        <v>1570</v>
      </c>
      <c r="K354">
        <v>598138</v>
      </c>
      <c r="O354">
        <f t="shared" si="15"/>
        <v>20.010127388535029</v>
      </c>
      <c r="P354">
        <f t="shared" si="16"/>
        <v>127.38853503184714</v>
      </c>
      <c r="Q354">
        <f t="shared" si="17"/>
        <v>70.600000000000009</v>
      </c>
    </row>
    <row r="355" spans="8:17" x14ac:dyDescent="0.15">
      <c r="H355">
        <v>354</v>
      </c>
      <c r="I355" t="s">
        <v>78</v>
      </c>
      <c r="J355">
        <v>1570</v>
      </c>
      <c r="K355">
        <v>599708</v>
      </c>
      <c r="O355">
        <f t="shared" si="15"/>
        <v>20.010127388535029</v>
      </c>
      <c r="P355">
        <f t="shared" si="16"/>
        <v>127.38853503184714</v>
      </c>
      <c r="Q355">
        <f t="shared" si="17"/>
        <v>70.8</v>
      </c>
    </row>
    <row r="356" spans="8:17" x14ac:dyDescent="0.15">
      <c r="H356">
        <v>355</v>
      </c>
      <c r="I356" t="s">
        <v>78</v>
      </c>
      <c r="J356">
        <v>1570</v>
      </c>
      <c r="K356">
        <v>601278</v>
      </c>
      <c r="O356">
        <f t="shared" si="15"/>
        <v>20.010127388535029</v>
      </c>
      <c r="P356">
        <f t="shared" si="16"/>
        <v>127.38853503184714</v>
      </c>
      <c r="Q356">
        <f t="shared" si="17"/>
        <v>71</v>
      </c>
    </row>
    <row r="357" spans="8:17" x14ac:dyDescent="0.15">
      <c r="H357">
        <v>356</v>
      </c>
      <c r="I357" t="s">
        <v>78</v>
      </c>
      <c r="J357">
        <v>1570</v>
      </c>
      <c r="K357">
        <v>602848</v>
      </c>
      <c r="O357">
        <f t="shared" si="15"/>
        <v>20.010127388535029</v>
      </c>
      <c r="P357">
        <f t="shared" si="16"/>
        <v>127.38853503184714</v>
      </c>
      <c r="Q357">
        <f t="shared" si="17"/>
        <v>71.2</v>
      </c>
    </row>
    <row r="358" spans="8:17" x14ac:dyDescent="0.15">
      <c r="H358">
        <v>357</v>
      </c>
      <c r="I358" t="s">
        <v>78</v>
      </c>
      <c r="J358">
        <v>1570</v>
      </c>
      <c r="K358">
        <v>604418</v>
      </c>
      <c r="O358">
        <f t="shared" si="15"/>
        <v>20.010127388535029</v>
      </c>
      <c r="P358">
        <f t="shared" si="16"/>
        <v>127.38853503184714</v>
      </c>
      <c r="Q358">
        <f t="shared" si="17"/>
        <v>71.400000000000006</v>
      </c>
    </row>
    <row r="359" spans="8:17" x14ac:dyDescent="0.15">
      <c r="H359">
        <v>358</v>
      </c>
      <c r="I359" t="s">
        <v>78</v>
      </c>
      <c r="J359">
        <v>1570</v>
      </c>
      <c r="K359">
        <v>605988</v>
      </c>
      <c r="O359">
        <f t="shared" si="15"/>
        <v>20.010127388535029</v>
      </c>
      <c r="P359">
        <f t="shared" si="16"/>
        <v>127.38853503184714</v>
      </c>
      <c r="Q359">
        <f t="shared" si="17"/>
        <v>71.600000000000009</v>
      </c>
    </row>
    <row r="360" spans="8:17" x14ac:dyDescent="0.15">
      <c r="H360">
        <v>359</v>
      </c>
      <c r="I360" t="s">
        <v>78</v>
      </c>
      <c r="J360">
        <v>1570</v>
      </c>
      <c r="K360">
        <v>607558</v>
      </c>
      <c r="O360">
        <f t="shared" si="15"/>
        <v>20.010127388535029</v>
      </c>
      <c r="P360">
        <f t="shared" si="16"/>
        <v>127.38853503184714</v>
      </c>
      <c r="Q360">
        <f t="shared" si="17"/>
        <v>71.8</v>
      </c>
    </row>
    <row r="361" spans="8:17" x14ac:dyDescent="0.15">
      <c r="H361">
        <v>360</v>
      </c>
      <c r="I361" t="s">
        <v>78</v>
      </c>
      <c r="J361">
        <v>1570</v>
      </c>
      <c r="K361">
        <v>609128</v>
      </c>
      <c r="O361">
        <f t="shared" si="15"/>
        <v>20.010127388535029</v>
      </c>
      <c r="P361">
        <f t="shared" si="16"/>
        <v>127.38853503184714</v>
      </c>
      <c r="Q361">
        <f t="shared" si="17"/>
        <v>72</v>
      </c>
    </row>
    <row r="362" spans="8:17" x14ac:dyDescent="0.15">
      <c r="H362">
        <v>361</v>
      </c>
      <c r="I362" t="s">
        <v>78</v>
      </c>
      <c r="J362">
        <v>1570</v>
      </c>
      <c r="K362">
        <v>610698</v>
      </c>
      <c r="O362">
        <f t="shared" si="15"/>
        <v>20.010127388535029</v>
      </c>
      <c r="P362">
        <f t="shared" si="16"/>
        <v>127.38853503184714</v>
      </c>
      <c r="Q362">
        <f t="shared" si="17"/>
        <v>72.2</v>
      </c>
    </row>
    <row r="363" spans="8:17" x14ac:dyDescent="0.15">
      <c r="H363">
        <v>362</v>
      </c>
      <c r="I363" t="s">
        <v>78</v>
      </c>
      <c r="J363">
        <v>1570</v>
      </c>
      <c r="K363">
        <v>612268</v>
      </c>
      <c r="O363">
        <f t="shared" si="15"/>
        <v>20.010127388535029</v>
      </c>
      <c r="P363">
        <f t="shared" si="16"/>
        <v>127.38853503184714</v>
      </c>
      <c r="Q363">
        <f t="shared" si="17"/>
        <v>72.400000000000006</v>
      </c>
    </row>
    <row r="364" spans="8:17" x14ac:dyDescent="0.15">
      <c r="H364">
        <v>363</v>
      </c>
      <c r="I364" t="s">
        <v>78</v>
      </c>
      <c r="J364">
        <v>1570</v>
      </c>
      <c r="K364">
        <v>613838</v>
      </c>
      <c r="O364">
        <f t="shared" si="15"/>
        <v>20.010127388535029</v>
      </c>
      <c r="P364">
        <f t="shared" si="16"/>
        <v>127.38853503184714</v>
      </c>
      <c r="Q364">
        <f t="shared" si="17"/>
        <v>72.600000000000009</v>
      </c>
    </row>
    <row r="365" spans="8:17" x14ac:dyDescent="0.15">
      <c r="H365">
        <v>364</v>
      </c>
      <c r="I365" t="s">
        <v>78</v>
      </c>
      <c r="J365">
        <v>1570</v>
      </c>
      <c r="K365">
        <v>615408</v>
      </c>
      <c r="O365">
        <f t="shared" si="15"/>
        <v>20.010127388535029</v>
      </c>
      <c r="P365">
        <f t="shared" si="16"/>
        <v>127.38853503184714</v>
      </c>
      <c r="Q365">
        <f t="shared" si="17"/>
        <v>72.8</v>
      </c>
    </row>
    <row r="366" spans="8:17" x14ac:dyDescent="0.15">
      <c r="H366">
        <v>365</v>
      </c>
      <c r="I366" t="s">
        <v>78</v>
      </c>
      <c r="J366">
        <v>1570</v>
      </c>
      <c r="K366">
        <v>616978</v>
      </c>
      <c r="O366">
        <f t="shared" si="15"/>
        <v>20.010127388535029</v>
      </c>
      <c r="P366">
        <f t="shared" si="16"/>
        <v>127.38853503184714</v>
      </c>
      <c r="Q366">
        <f t="shared" si="17"/>
        <v>73</v>
      </c>
    </row>
    <row r="367" spans="8:17" x14ac:dyDescent="0.15">
      <c r="H367">
        <v>366</v>
      </c>
      <c r="I367" t="s">
        <v>79</v>
      </c>
      <c r="J367">
        <v>1570</v>
      </c>
      <c r="K367">
        <v>618548</v>
      </c>
      <c r="O367">
        <f t="shared" si="15"/>
        <v>20.010127388535029</v>
      </c>
      <c r="P367">
        <f t="shared" si="16"/>
        <v>127.38853503184714</v>
      </c>
      <c r="Q367">
        <f t="shared" si="17"/>
        <v>73.2</v>
      </c>
    </row>
    <row r="368" spans="8:17" x14ac:dyDescent="0.15">
      <c r="H368">
        <v>367</v>
      </c>
      <c r="I368" t="s">
        <v>78</v>
      </c>
      <c r="J368">
        <v>1570</v>
      </c>
      <c r="K368">
        <v>620118</v>
      </c>
      <c r="O368">
        <f t="shared" si="15"/>
        <v>20.010127388535029</v>
      </c>
      <c r="P368">
        <f t="shared" si="16"/>
        <v>127.38853503184714</v>
      </c>
      <c r="Q368">
        <f t="shared" si="17"/>
        <v>73.400000000000006</v>
      </c>
    </row>
    <row r="369" spans="8:17" x14ac:dyDescent="0.15">
      <c r="H369">
        <v>368</v>
      </c>
      <c r="I369" t="s">
        <v>78</v>
      </c>
      <c r="J369">
        <v>1570</v>
      </c>
      <c r="K369">
        <v>621688</v>
      </c>
      <c r="O369">
        <f t="shared" si="15"/>
        <v>20.010127388535029</v>
      </c>
      <c r="P369">
        <f t="shared" si="16"/>
        <v>127.38853503184714</v>
      </c>
      <c r="Q369">
        <f t="shared" si="17"/>
        <v>73.600000000000009</v>
      </c>
    </row>
    <row r="370" spans="8:17" x14ac:dyDescent="0.15">
      <c r="H370">
        <v>369</v>
      </c>
      <c r="I370" t="s">
        <v>78</v>
      </c>
      <c r="J370">
        <v>1570</v>
      </c>
      <c r="K370">
        <v>623258</v>
      </c>
      <c r="O370">
        <f t="shared" si="15"/>
        <v>20.010127388535029</v>
      </c>
      <c r="P370">
        <f t="shared" si="16"/>
        <v>127.38853503184714</v>
      </c>
      <c r="Q370">
        <f t="shared" si="17"/>
        <v>73.8</v>
      </c>
    </row>
    <row r="371" spans="8:17" x14ac:dyDescent="0.15">
      <c r="H371">
        <v>370</v>
      </c>
      <c r="I371" t="s">
        <v>80</v>
      </c>
      <c r="J371">
        <v>1553</v>
      </c>
      <c r="K371">
        <v>624811</v>
      </c>
      <c r="O371">
        <f t="shared" si="15"/>
        <v>20.229169349645847</v>
      </c>
      <c r="P371">
        <f t="shared" si="16"/>
        <v>128.78300064391502</v>
      </c>
      <c r="Q371">
        <f t="shared" si="17"/>
        <v>74</v>
      </c>
    </row>
    <row r="372" spans="8:17" x14ac:dyDescent="0.15">
      <c r="H372">
        <v>371</v>
      </c>
      <c r="I372" t="s">
        <v>80</v>
      </c>
      <c r="J372">
        <v>1579</v>
      </c>
      <c r="K372">
        <v>626390</v>
      </c>
      <c r="O372">
        <f t="shared" si="15"/>
        <v>19.896073464217856</v>
      </c>
      <c r="P372">
        <f t="shared" si="16"/>
        <v>126.66244458518049</v>
      </c>
      <c r="Q372">
        <f t="shared" si="17"/>
        <v>74.2</v>
      </c>
    </row>
    <row r="373" spans="8:17" x14ac:dyDescent="0.15">
      <c r="H373">
        <v>372</v>
      </c>
      <c r="I373" t="s">
        <v>80</v>
      </c>
      <c r="J373">
        <v>1606</v>
      </c>
      <c r="K373">
        <v>627996</v>
      </c>
      <c r="O373">
        <f t="shared" si="15"/>
        <v>19.561581569115813</v>
      </c>
      <c r="P373">
        <f t="shared" si="16"/>
        <v>124.53300124533001</v>
      </c>
      <c r="Q373">
        <f t="shared" si="17"/>
        <v>74.400000000000006</v>
      </c>
    </row>
    <row r="374" spans="8:17" x14ac:dyDescent="0.15">
      <c r="H374">
        <v>373</v>
      </c>
      <c r="I374" t="s">
        <v>80</v>
      </c>
      <c r="J374">
        <v>1635</v>
      </c>
      <c r="K374">
        <v>629631</v>
      </c>
      <c r="O374">
        <f t="shared" si="15"/>
        <v>19.214617737003056</v>
      </c>
      <c r="P374">
        <f t="shared" si="16"/>
        <v>122.32415902140674</v>
      </c>
      <c r="Q374">
        <f t="shared" si="17"/>
        <v>74.600000000000009</v>
      </c>
    </row>
    <row r="375" spans="8:17" x14ac:dyDescent="0.15">
      <c r="H375">
        <v>374</v>
      </c>
      <c r="I375" t="s">
        <v>80</v>
      </c>
      <c r="J375">
        <v>1666</v>
      </c>
      <c r="K375">
        <v>631297</v>
      </c>
      <c r="O375">
        <f t="shared" si="15"/>
        <v>18.857082833133251</v>
      </c>
      <c r="P375">
        <f t="shared" si="16"/>
        <v>120.04801920768308</v>
      </c>
      <c r="Q375">
        <f t="shared" si="17"/>
        <v>74.8</v>
      </c>
    </row>
    <row r="376" spans="8:17" x14ac:dyDescent="0.15">
      <c r="H376">
        <v>375</v>
      </c>
      <c r="I376" t="s">
        <v>80</v>
      </c>
      <c r="J376">
        <v>1698</v>
      </c>
      <c r="K376">
        <v>632995</v>
      </c>
      <c r="O376">
        <f t="shared" si="15"/>
        <v>18.501707891637217</v>
      </c>
      <c r="P376">
        <f t="shared" si="16"/>
        <v>117.78563015312132</v>
      </c>
      <c r="Q376">
        <f t="shared" si="17"/>
        <v>75</v>
      </c>
    </row>
    <row r="377" spans="8:17" x14ac:dyDescent="0.15">
      <c r="H377">
        <v>376</v>
      </c>
      <c r="I377" t="s">
        <v>80</v>
      </c>
      <c r="J377">
        <v>1732</v>
      </c>
      <c r="K377">
        <v>634727</v>
      </c>
      <c r="O377">
        <f t="shared" si="15"/>
        <v>18.138510392609696</v>
      </c>
      <c r="P377">
        <f t="shared" si="16"/>
        <v>115.47344110854503</v>
      </c>
      <c r="Q377">
        <f t="shared" si="17"/>
        <v>75.2</v>
      </c>
    </row>
    <row r="378" spans="8:17" x14ac:dyDescent="0.15">
      <c r="H378">
        <v>377</v>
      </c>
      <c r="I378" t="s">
        <v>80</v>
      </c>
      <c r="J378">
        <v>1769</v>
      </c>
      <c r="K378">
        <v>636496</v>
      </c>
      <c r="O378">
        <f t="shared" si="15"/>
        <v>17.759129451667608</v>
      </c>
      <c r="P378">
        <f t="shared" si="16"/>
        <v>113.05822498586772</v>
      </c>
      <c r="Q378">
        <f t="shared" si="17"/>
        <v>75.400000000000006</v>
      </c>
    </row>
    <row r="379" spans="8:17" x14ac:dyDescent="0.15">
      <c r="H379">
        <v>378</v>
      </c>
      <c r="I379" t="s">
        <v>80</v>
      </c>
      <c r="J379">
        <v>1808</v>
      </c>
      <c r="K379">
        <v>638304</v>
      </c>
      <c r="O379">
        <f t="shared" si="15"/>
        <v>17.376050884955752</v>
      </c>
      <c r="P379">
        <f t="shared" si="16"/>
        <v>110.61946902654869</v>
      </c>
      <c r="Q379">
        <f t="shared" si="17"/>
        <v>75.600000000000009</v>
      </c>
    </row>
    <row r="380" spans="8:17" x14ac:dyDescent="0.15">
      <c r="H380">
        <v>379</v>
      </c>
      <c r="I380" t="s">
        <v>80</v>
      </c>
      <c r="J380">
        <v>1849</v>
      </c>
      <c r="K380">
        <v>640153</v>
      </c>
      <c r="O380">
        <f t="shared" si="15"/>
        <v>16.990751757706867</v>
      </c>
      <c r="P380">
        <f t="shared" si="16"/>
        <v>108.1665765278529</v>
      </c>
      <c r="Q380">
        <f t="shared" si="17"/>
        <v>75.8</v>
      </c>
    </row>
    <row r="381" spans="8:17" x14ac:dyDescent="0.15">
      <c r="H381">
        <v>380</v>
      </c>
      <c r="I381" t="s">
        <v>80</v>
      </c>
      <c r="J381">
        <v>1894</v>
      </c>
      <c r="K381">
        <v>642047</v>
      </c>
      <c r="O381">
        <f t="shared" si="15"/>
        <v>16.587064413938752</v>
      </c>
      <c r="P381">
        <f t="shared" si="16"/>
        <v>105.59662090813094</v>
      </c>
      <c r="Q381">
        <f t="shared" si="17"/>
        <v>76</v>
      </c>
    </row>
    <row r="382" spans="8:17" x14ac:dyDescent="0.15">
      <c r="H382">
        <v>381</v>
      </c>
      <c r="I382" t="s">
        <v>80</v>
      </c>
      <c r="J382">
        <v>1942</v>
      </c>
      <c r="K382">
        <v>643989</v>
      </c>
      <c r="O382">
        <f t="shared" si="15"/>
        <v>16.177085478887744</v>
      </c>
      <c r="P382">
        <f t="shared" si="16"/>
        <v>102.98661174047375</v>
      </c>
      <c r="Q382">
        <f t="shared" si="17"/>
        <v>76.2</v>
      </c>
    </row>
    <row r="383" spans="8:17" x14ac:dyDescent="0.15">
      <c r="H383">
        <v>382</v>
      </c>
      <c r="I383" t="s">
        <v>80</v>
      </c>
      <c r="J383">
        <v>1994</v>
      </c>
      <c r="K383">
        <v>645983</v>
      </c>
      <c r="O383">
        <f t="shared" si="15"/>
        <v>15.755215646940821</v>
      </c>
      <c r="P383">
        <f t="shared" si="16"/>
        <v>100.30090270812437</v>
      </c>
      <c r="Q383">
        <f t="shared" si="17"/>
        <v>76.400000000000006</v>
      </c>
    </row>
    <row r="384" spans="8:17" x14ac:dyDescent="0.15">
      <c r="H384">
        <v>383</v>
      </c>
      <c r="I384" t="s">
        <v>80</v>
      </c>
      <c r="J384">
        <v>2050</v>
      </c>
      <c r="K384">
        <v>648033</v>
      </c>
      <c r="O384">
        <f t="shared" si="15"/>
        <v>15.32482926829268</v>
      </c>
      <c r="P384">
        <f t="shared" si="16"/>
        <v>97.560975609756099</v>
      </c>
      <c r="Q384">
        <f t="shared" si="17"/>
        <v>76.600000000000009</v>
      </c>
    </row>
    <row r="385" spans="8:17" x14ac:dyDescent="0.15">
      <c r="H385">
        <v>384</v>
      </c>
      <c r="I385" t="s">
        <v>80</v>
      </c>
      <c r="J385">
        <v>2111</v>
      </c>
      <c r="K385">
        <v>650144</v>
      </c>
      <c r="O385">
        <f t="shared" si="15"/>
        <v>14.881999052581714</v>
      </c>
      <c r="P385">
        <f t="shared" si="16"/>
        <v>94.741828517290386</v>
      </c>
      <c r="Q385">
        <f t="shared" si="17"/>
        <v>76.800000000000011</v>
      </c>
    </row>
    <row r="386" spans="8:17" x14ac:dyDescent="0.15">
      <c r="H386">
        <v>385</v>
      </c>
      <c r="I386" t="s">
        <v>80</v>
      </c>
      <c r="J386">
        <v>2178</v>
      </c>
      <c r="K386">
        <v>652322</v>
      </c>
      <c r="O386">
        <f t="shared" si="15"/>
        <v>14.424196510560147</v>
      </c>
      <c r="P386">
        <f t="shared" si="16"/>
        <v>91.827364554637299</v>
      </c>
      <c r="Q386">
        <f t="shared" si="17"/>
        <v>77</v>
      </c>
    </row>
    <row r="387" spans="8:17" x14ac:dyDescent="0.15">
      <c r="H387">
        <v>386</v>
      </c>
      <c r="I387" t="s">
        <v>80</v>
      </c>
      <c r="J387">
        <v>2252</v>
      </c>
      <c r="K387">
        <v>654574</v>
      </c>
      <c r="O387">
        <f t="shared" ref="O387:O401" si="18">$C$11/(J387/$C$7)</f>
        <v>13.950222024866783</v>
      </c>
      <c r="P387">
        <f t="shared" ref="P387:P401" si="19">$C$10/(J387/$C$7)</f>
        <v>88.809946714031966</v>
      </c>
      <c r="Q387">
        <f t="shared" ref="Q387:Q401" si="20">H387*$C$10</f>
        <v>77.2</v>
      </c>
    </row>
    <row r="388" spans="8:17" x14ac:dyDescent="0.15">
      <c r="H388">
        <v>387</v>
      </c>
      <c r="I388" t="s">
        <v>80</v>
      </c>
      <c r="J388">
        <v>2334</v>
      </c>
      <c r="K388">
        <v>656908</v>
      </c>
      <c r="O388">
        <f t="shared" si="18"/>
        <v>13.460111396743786</v>
      </c>
      <c r="P388">
        <f t="shared" si="19"/>
        <v>85.689802913453292</v>
      </c>
      <c r="Q388">
        <f t="shared" si="20"/>
        <v>77.400000000000006</v>
      </c>
    </row>
    <row r="389" spans="8:17" x14ac:dyDescent="0.15">
      <c r="H389">
        <v>388</v>
      </c>
      <c r="I389" t="s">
        <v>80</v>
      </c>
      <c r="J389">
        <v>2425</v>
      </c>
      <c r="K389">
        <v>659333</v>
      </c>
      <c r="O389">
        <f t="shared" si="18"/>
        <v>12.955010309278348</v>
      </c>
      <c r="P389">
        <f t="shared" si="19"/>
        <v>82.474226804123717</v>
      </c>
      <c r="Q389">
        <f t="shared" si="20"/>
        <v>77.600000000000009</v>
      </c>
    </row>
    <row r="390" spans="8:17" x14ac:dyDescent="0.15">
      <c r="H390">
        <v>389</v>
      </c>
      <c r="I390" t="s">
        <v>80</v>
      </c>
      <c r="J390">
        <v>2529</v>
      </c>
      <c r="K390">
        <v>661862</v>
      </c>
      <c r="O390">
        <f t="shared" si="18"/>
        <v>12.422261763542901</v>
      </c>
      <c r="P390">
        <f t="shared" si="19"/>
        <v>79.08264136022143</v>
      </c>
      <c r="Q390">
        <f t="shared" si="20"/>
        <v>77.800000000000011</v>
      </c>
    </row>
    <row r="391" spans="8:17" x14ac:dyDescent="0.15">
      <c r="H391">
        <v>390</v>
      </c>
      <c r="I391" t="s">
        <v>80</v>
      </c>
      <c r="J391">
        <v>2646</v>
      </c>
      <c r="K391">
        <v>664508</v>
      </c>
      <c r="O391">
        <f t="shared" si="18"/>
        <v>11.872978080120937</v>
      </c>
      <c r="P391">
        <f t="shared" si="19"/>
        <v>75.585789871504161</v>
      </c>
      <c r="Q391">
        <f t="shared" si="20"/>
        <v>78</v>
      </c>
    </row>
    <row r="392" spans="8:17" x14ac:dyDescent="0.15">
      <c r="H392">
        <v>391</v>
      </c>
      <c r="I392" t="s">
        <v>80</v>
      </c>
      <c r="J392">
        <v>2782</v>
      </c>
      <c r="K392">
        <v>667290</v>
      </c>
      <c r="O392">
        <f t="shared" si="18"/>
        <v>11.292559309849027</v>
      </c>
      <c r="P392">
        <f t="shared" si="19"/>
        <v>71.890726096333566</v>
      </c>
      <c r="Q392">
        <f t="shared" si="20"/>
        <v>78.2</v>
      </c>
    </row>
    <row r="393" spans="8:17" x14ac:dyDescent="0.15">
      <c r="H393">
        <v>392</v>
      </c>
      <c r="I393" t="s">
        <v>80</v>
      </c>
      <c r="J393">
        <v>2941</v>
      </c>
      <c r="K393">
        <v>670231</v>
      </c>
      <c r="O393">
        <f t="shared" si="18"/>
        <v>10.682046922815367</v>
      </c>
      <c r="P393">
        <f t="shared" si="19"/>
        <v>68.004080244814688</v>
      </c>
      <c r="Q393">
        <f t="shared" si="20"/>
        <v>78.400000000000006</v>
      </c>
    </row>
    <row r="394" spans="8:17" x14ac:dyDescent="0.15">
      <c r="H394">
        <v>393</v>
      </c>
      <c r="I394" t="s">
        <v>80</v>
      </c>
      <c r="J394">
        <v>3131</v>
      </c>
      <c r="K394">
        <v>673362</v>
      </c>
      <c r="O394">
        <f t="shared" si="18"/>
        <v>10.033823059725327</v>
      </c>
      <c r="P394">
        <f t="shared" si="19"/>
        <v>63.877355477483235</v>
      </c>
      <c r="Q394">
        <f t="shared" si="20"/>
        <v>78.600000000000009</v>
      </c>
    </row>
    <row r="395" spans="8:17" x14ac:dyDescent="0.15">
      <c r="H395">
        <v>394</v>
      </c>
      <c r="I395" t="s">
        <v>80</v>
      </c>
      <c r="J395">
        <v>3363</v>
      </c>
      <c r="K395">
        <v>676725</v>
      </c>
      <c r="O395">
        <f t="shared" si="18"/>
        <v>9.3416294974724927</v>
      </c>
      <c r="P395">
        <f t="shared" si="19"/>
        <v>59.470710674992567</v>
      </c>
      <c r="Q395">
        <f t="shared" si="20"/>
        <v>78.800000000000011</v>
      </c>
    </row>
    <row r="396" spans="8:17" x14ac:dyDescent="0.15">
      <c r="H396">
        <v>395</v>
      </c>
      <c r="I396" t="s">
        <v>80</v>
      </c>
      <c r="J396">
        <v>3655</v>
      </c>
      <c r="K396">
        <v>680380</v>
      </c>
      <c r="O396">
        <f t="shared" si="18"/>
        <v>8.5953214774281808</v>
      </c>
      <c r="P396">
        <f t="shared" si="19"/>
        <v>54.719562243502061</v>
      </c>
      <c r="Q396">
        <f t="shared" si="20"/>
        <v>79</v>
      </c>
    </row>
    <row r="397" spans="8:17" x14ac:dyDescent="0.15">
      <c r="H397">
        <v>396</v>
      </c>
      <c r="I397" t="s">
        <v>80</v>
      </c>
      <c r="J397">
        <v>4040</v>
      </c>
      <c r="K397">
        <v>684420</v>
      </c>
      <c r="O397">
        <f t="shared" si="18"/>
        <v>7.7762128712871279</v>
      </c>
      <c r="P397">
        <f t="shared" si="19"/>
        <v>49.504950495049506</v>
      </c>
      <c r="Q397">
        <f t="shared" si="20"/>
        <v>79.2</v>
      </c>
    </row>
    <row r="398" spans="8:17" x14ac:dyDescent="0.15">
      <c r="H398">
        <v>397</v>
      </c>
      <c r="I398" t="s">
        <v>80</v>
      </c>
      <c r="J398">
        <v>4579</v>
      </c>
      <c r="K398">
        <v>688999</v>
      </c>
      <c r="O398">
        <f t="shared" si="18"/>
        <v>6.8608648176457736</v>
      </c>
      <c r="P398">
        <f t="shared" si="19"/>
        <v>43.67765887748417</v>
      </c>
      <c r="Q398">
        <f t="shared" si="20"/>
        <v>79.400000000000006</v>
      </c>
    </row>
    <row r="399" spans="8:17" x14ac:dyDescent="0.15">
      <c r="H399">
        <v>398</v>
      </c>
      <c r="I399" t="s">
        <v>80</v>
      </c>
      <c r="J399">
        <v>5412</v>
      </c>
      <c r="K399">
        <v>694411</v>
      </c>
      <c r="O399">
        <f t="shared" si="18"/>
        <v>5.8048595713229849</v>
      </c>
      <c r="P399">
        <f t="shared" si="19"/>
        <v>36.95491500369549</v>
      </c>
      <c r="Q399">
        <f t="shared" si="20"/>
        <v>79.600000000000009</v>
      </c>
    </row>
    <row r="400" spans="8:17" x14ac:dyDescent="0.15">
      <c r="H400">
        <v>399</v>
      </c>
      <c r="I400" t="s">
        <v>80</v>
      </c>
      <c r="J400">
        <v>6959</v>
      </c>
      <c r="K400">
        <v>701370</v>
      </c>
      <c r="O400">
        <f t="shared" si="18"/>
        <v>4.5144273602529097</v>
      </c>
      <c r="P400">
        <f t="shared" si="19"/>
        <v>28.739761459979885</v>
      </c>
      <c r="Q400">
        <f t="shared" si="20"/>
        <v>79.800000000000011</v>
      </c>
    </row>
    <row r="401" spans="8:17" x14ac:dyDescent="0.15">
      <c r="H401">
        <v>400</v>
      </c>
      <c r="I401" t="s">
        <v>80</v>
      </c>
      <c r="J401">
        <v>11598</v>
      </c>
      <c r="K401">
        <v>712968</v>
      </c>
      <c r="O401">
        <f t="shared" si="18"/>
        <v>2.7087342645283665</v>
      </c>
      <c r="P401">
        <f t="shared" si="19"/>
        <v>17.244352474564579</v>
      </c>
      <c r="Q401">
        <f t="shared" si="20"/>
        <v>80</v>
      </c>
    </row>
  </sheetData>
  <mergeCells count="3">
    <mergeCell ref="B17:D17"/>
    <mergeCell ref="B18:D18"/>
    <mergeCell ref="A19:F19"/>
  </mergeCells>
  <phoneticPr fontId="2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or">
                <anchor moveWithCells="1" sizeWithCells="1">
                  <from>
                    <xdr:col>2</xdr:col>
                    <xdr:colOff>28575</xdr:colOff>
                    <xdr:row>27</xdr:row>
                    <xdr:rowOff>38100</xdr:rowOff>
                  </from>
                  <to>
                    <xdr:col>2</xdr:col>
                    <xdr:colOff>2057400</xdr:colOff>
                    <xdr:row>30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88"/>
  <sheetViews>
    <sheetView workbookViewId="0">
      <selection activeCell="C8" sqref="C8"/>
    </sheetView>
  </sheetViews>
  <sheetFormatPr defaultRowHeight="14.25" x14ac:dyDescent="0.15"/>
  <cols>
    <col min="1" max="1" width="11.625" bestFit="1" customWidth="1"/>
    <col min="2" max="2" width="10.5" bestFit="1" customWidth="1"/>
    <col min="3" max="3" width="27.25" bestFit="1" customWidth="1"/>
    <col min="4" max="4" width="9.125" customWidth="1"/>
    <col min="5" max="5" width="7.125" customWidth="1"/>
    <col min="6" max="6" width="4" customWidth="1"/>
    <col min="7" max="7" width="11.625" bestFit="1" customWidth="1"/>
    <col min="8" max="9" width="5.5" bestFit="1" customWidth="1"/>
    <col min="10" max="10" width="7.5" bestFit="1" customWidth="1"/>
    <col min="11" max="11" width="4.5" bestFit="1" customWidth="1"/>
  </cols>
  <sheetData>
    <row r="1" spans="1:15" x14ac:dyDescent="0.15">
      <c r="A1" s="1" t="s">
        <v>0</v>
      </c>
      <c r="B1" s="1"/>
      <c r="C1" s="1" t="s">
        <v>1</v>
      </c>
      <c r="D1" s="1"/>
      <c r="E1" s="1"/>
      <c r="F1" s="1"/>
      <c r="G1" s="9" t="s">
        <v>91</v>
      </c>
      <c r="H1" s="9" t="s">
        <v>93</v>
      </c>
      <c r="I1">
        <f>INT(C11 * C7/ C22)</f>
        <v>1047</v>
      </c>
    </row>
    <row r="2" spans="1:15" x14ac:dyDescent="0.15">
      <c r="A2" s="1"/>
      <c r="B2" s="2" t="s">
        <v>2</v>
      </c>
      <c r="C2" s="10">
        <v>3.1415899999999999</v>
      </c>
      <c r="D2" s="1"/>
      <c r="E2" s="1"/>
      <c r="F2" s="1"/>
      <c r="G2" s="9" t="s">
        <v>98</v>
      </c>
      <c r="H2" s="9" t="s">
        <v>92</v>
      </c>
      <c r="I2">
        <v>1100</v>
      </c>
    </row>
    <row r="3" spans="1:15" x14ac:dyDescent="0.15">
      <c r="A3" s="1" t="s">
        <v>46</v>
      </c>
      <c r="B3" s="3" t="s">
        <v>3</v>
      </c>
      <c r="C3" s="4">
        <v>1.8</v>
      </c>
      <c r="D3" s="1" t="s">
        <v>4</v>
      </c>
      <c r="E3" s="1"/>
      <c r="F3" s="1"/>
      <c r="G3" s="9" t="s">
        <v>96</v>
      </c>
      <c r="H3" s="9" t="s">
        <v>89</v>
      </c>
      <c r="I3">
        <v>0.5</v>
      </c>
    </row>
    <row r="4" spans="1:15" x14ac:dyDescent="0.15">
      <c r="A4" s="13" t="s">
        <v>52</v>
      </c>
      <c r="B4" s="2" t="s">
        <v>5</v>
      </c>
      <c r="C4" s="5">
        <f>360/C3</f>
        <v>200</v>
      </c>
      <c r="D4" s="1"/>
      <c r="E4" s="1"/>
      <c r="F4" s="1"/>
      <c r="G4" s="9" t="s">
        <v>97</v>
      </c>
      <c r="H4" s="9" t="s">
        <v>90</v>
      </c>
      <c r="I4">
        <v>20</v>
      </c>
    </row>
    <row r="5" spans="1:15" x14ac:dyDescent="0.15">
      <c r="A5" s="1" t="s">
        <v>6</v>
      </c>
      <c r="B5" s="2" t="s">
        <v>7</v>
      </c>
      <c r="C5" s="6">
        <v>1</v>
      </c>
      <c r="D5" s="1"/>
      <c r="E5" s="1"/>
      <c r="F5" s="1"/>
      <c r="H5">
        <v>0</v>
      </c>
      <c r="I5">
        <f>INT(($I$1-$I$2)/(1+EXP(-$I$3*(H5-$I$4)))+$I$2)</f>
        <v>1099</v>
      </c>
      <c r="J5" t="str">
        <f>"0x" &amp; DEC2HEX(I5,4)</f>
        <v>0x044B</v>
      </c>
      <c r="M5" t="s">
        <v>110</v>
      </c>
      <c r="N5">
        <v>1000</v>
      </c>
      <c r="O5">
        <f>SUM(N:N)</f>
        <v>199400</v>
      </c>
    </row>
    <row r="6" spans="1:15" x14ac:dyDescent="0.15">
      <c r="A6" s="13" t="s">
        <v>51</v>
      </c>
      <c r="B6" s="2" t="s">
        <v>8</v>
      </c>
      <c r="C6" s="5">
        <f>C4*C5</f>
        <v>200</v>
      </c>
      <c r="D6" s="1"/>
      <c r="E6" s="1"/>
      <c r="F6" s="1"/>
      <c r="H6">
        <v>1</v>
      </c>
      <c r="I6">
        <f>INT(($I$1-$I$2)/(1+EXP(-$I$3*(H6-$I$4)))+$I$2)</f>
        <v>1099</v>
      </c>
      <c r="J6" t="str">
        <f t="shared" ref="J6:J69" si="0">"0x" &amp; DEC2HEX(I6,4)</f>
        <v>0x044B</v>
      </c>
      <c r="K6">
        <v>1</v>
      </c>
      <c r="M6" t="s">
        <v>111</v>
      </c>
      <c r="N6">
        <v>999</v>
      </c>
    </row>
    <row r="7" spans="1:15" x14ac:dyDescent="0.15">
      <c r="A7" s="1" t="s">
        <v>9</v>
      </c>
      <c r="B7" s="2" t="s">
        <v>10</v>
      </c>
      <c r="C7" s="5">
        <v>1000000</v>
      </c>
      <c r="D7" s="1"/>
      <c r="E7" s="1"/>
      <c r="F7" s="1"/>
      <c r="H7">
        <v>2</v>
      </c>
      <c r="I7">
        <f t="shared" ref="I7:I69" si="1">INT(($I$1-$I$2)/(1+EXP(-$I$3*(H7-$I$4)))+$I$2)</f>
        <v>1099</v>
      </c>
      <c r="J7" t="str">
        <f t="shared" si="0"/>
        <v>0x044B</v>
      </c>
      <c r="K7">
        <v>2</v>
      </c>
      <c r="M7" t="s">
        <v>112</v>
      </c>
      <c r="N7">
        <v>999</v>
      </c>
    </row>
    <row r="8" spans="1:15" x14ac:dyDescent="0.15">
      <c r="A8" s="1" t="s">
        <v>11</v>
      </c>
      <c r="B8" s="2" t="s">
        <v>12</v>
      </c>
      <c r="C8" s="6">
        <v>2</v>
      </c>
      <c r="D8" s="1" t="s">
        <v>13</v>
      </c>
      <c r="E8" s="1">
        <f>C8/1000</f>
        <v>2E-3</v>
      </c>
      <c r="F8" s="1" t="s">
        <v>7</v>
      </c>
      <c r="H8">
        <v>3</v>
      </c>
      <c r="I8">
        <f t="shared" si="1"/>
        <v>1099</v>
      </c>
      <c r="J8" t="str">
        <f t="shared" si="0"/>
        <v>0x044B</v>
      </c>
      <c r="K8">
        <v>3</v>
      </c>
      <c r="M8" t="s">
        <v>113</v>
      </c>
      <c r="N8">
        <v>999</v>
      </c>
    </row>
    <row r="9" spans="1:15" x14ac:dyDescent="0.15">
      <c r="A9" s="1" t="s">
        <v>14</v>
      </c>
      <c r="B9" s="2" t="s">
        <v>15</v>
      </c>
      <c r="C9" s="7">
        <v>20</v>
      </c>
      <c r="D9" s="1" t="s">
        <v>16</v>
      </c>
      <c r="E9" s="1"/>
      <c r="F9" s="1"/>
      <c r="H9">
        <v>4</v>
      </c>
      <c r="I9">
        <f t="shared" si="1"/>
        <v>1099</v>
      </c>
      <c r="J9" t="str">
        <f t="shared" si="0"/>
        <v>0x044B</v>
      </c>
      <c r="K9">
        <v>4</v>
      </c>
      <c r="M9" t="s">
        <v>114</v>
      </c>
      <c r="N9">
        <v>999</v>
      </c>
    </row>
    <row r="10" spans="1:15" x14ac:dyDescent="0.15">
      <c r="A10" s="1" t="s">
        <v>17</v>
      </c>
      <c r="B10" s="2" t="s">
        <v>18</v>
      </c>
      <c r="C10" s="5">
        <f>C8*C9/C6</f>
        <v>0.2</v>
      </c>
      <c r="D10" s="1" t="s">
        <v>13</v>
      </c>
      <c r="E10" s="1"/>
      <c r="F10" s="1"/>
      <c r="H10">
        <v>5</v>
      </c>
      <c r="I10">
        <f t="shared" si="1"/>
        <v>1099</v>
      </c>
      <c r="J10" t="str">
        <f t="shared" si="0"/>
        <v>0x044B</v>
      </c>
      <c r="K10">
        <v>5</v>
      </c>
      <c r="M10" t="s">
        <v>115</v>
      </c>
      <c r="N10">
        <v>999</v>
      </c>
    </row>
    <row r="11" spans="1:15" x14ac:dyDescent="0.15">
      <c r="A11" s="13" t="s">
        <v>49</v>
      </c>
      <c r="B11" s="2" t="s">
        <v>20</v>
      </c>
      <c r="C11" s="5">
        <f>2*C2/C6</f>
        <v>3.1415899999999997E-2</v>
      </c>
      <c r="D11" s="1" t="s">
        <v>21</v>
      </c>
      <c r="E11" s="1"/>
      <c r="F11" s="1"/>
      <c r="H11">
        <v>6</v>
      </c>
      <c r="I11">
        <f t="shared" si="1"/>
        <v>1099</v>
      </c>
      <c r="J11" t="str">
        <f t="shared" si="0"/>
        <v>0x044B</v>
      </c>
      <c r="K11">
        <v>6</v>
      </c>
      <c r="M11" t="s">
        <v>116</v>
      </c>
      <c r="N11">
        <v>999</v>
      </c>
    </row>
    <row r="12" spans="1:15" x14ac:dyDescent="0.15">
      <c r="A12" s="1" t="s">
        <v>22</v>
      </c>
      <c r="B12" s="14" t="s">
        <v>50</v>
      </c>
      <c r="C12" s="4">
        <v>20</v>
      </c>
      <c r="D12" s="1"/>
      <c r="E12" s="1"/>
      <c r="F12" s="1"/>
      <c r="H12">
        <v>7</v>
      </c>
      <c r="I12">
        <f t="shared" si="1"/>
        <v>1099</v>
      </c>
      <c r="J12" t="str">
        <f t="shared" si="0"/>
        <v>0x044B</v>
      </c>
      <c r="K12">
        <v>7</v>
      </c>
      <c r="M12" t="s">
        <v>117</v>
      </c>
      <c r="N12">
        <v>999</v>
      </c>
    </row>
    <row r="13" spans="1:15" x14ac:dyDescent="0.15">
      <c r="A13" s="13" t="s">
        <v>47</v>
      </c>
      <c r="B13" s="2" t="s">
        <v>23</v>
      </c>
      <c r="C13" s="5">
        <f>C11*C7/C12</f>
        <v>1570.7949999999998</v>
      </c>
      <c r="D13" s="1" t="s">
        <v>24</v>
      </c>
      <c r="E13" s="1">
        <f>C13*60/(2*C2)</f>
        <v>15000</v>
      </c>
      <c r="F13" s="1" t="s">
        <v>25</v>
      </c>
      <c r="H13">
        <v>8</v>
      </c>
      <c r="I13">
        <f t="shared" si="1"/>
        <v>1099</v>
      </c>
      <c r="J13" t="str">
        <f t="shared" si="0"/>
        <v>0x044B</v>
      </c>
      <c r="K13">
        <v>8</v>
      </c>
      <c r="M13" t="s">
        <v>118</v>
      </c>
      <c r="N13">
        <v>999</v>
      </c>
    </row>
    <row r="14" spans="1:15" x14ac:dyDescent="0.15">
      <c r="A14" s="1" t="s">
        <v>26</v>
      </c>
      <c r="B14" s="2" t="s">
        <v>27</v>
      </c>
      <c r="C14" s="5">
        <f>C10*C7/C12</f>
        <v>10000</v>
      </c>
      <c r="D14" s="1" t="s">
        <v>28</v>
      </c>
      <c r="E14" s="1">
        <v>5</v>
      </c>
      <c r="F14" s="1" t="s">
        <v>29</v>
      </c>
      <c r="H14">
        <v>9</v>
      </c>
      <c r="I14">
        <f t="shared" si="1"/>
        <v>1099</v>
      </c>
      <c r="J14" t="str">
        <f t="shared" si="0"/>
        <v>0x044B</v>
      </c>
      <c r="K14">
        <v>9</v>
      </c>
      <c r="M14" t="s">
        <v>119</v>
      </c>
      <c r="N14">
        <v>999</v>
      </c>
    </row>
    <row r="15" spans="1:15" x14ac:dyDescent="0.15">
      <c r="A15" s="13"/>
      <c r="B15" s="2"/>
      <c r="C15" s="5"/>
      <c r="D15" s="1"/>
      <c r="E15" s="1"/>
      <c r="F15" s="1"/>
      <c r="H15">
        <v>10</v>
      </c>
      <c r="I15">
        <f t="shared" si="1"/>
        <v>1099</v>
      </c>
      <c r="J15" t="str">
        <f t="shared" si="0"/>
        <v>0x044B</v>
      </c>
      <c r="K15">
        <v>10</v>
      </c>
      <c r="M15" t="s">
        <v>120</v>
      </c>
      <c r="N15">
        <v>999</v>
      </c>
    </row>
    <row r="16" spans="1:15" x14ac:dyDescent="0.15">
      <c r="A16" s="18" t="s">
        <v>66</v>
      </c>
      <c r="B16" s="16" t="s">
        <v>65</v>
      </c>
      <c r="C16" s="17">
        <f>INT(C11 * C7  / C22)</f>
        <v>1047</v>
      </c>
      <c r="D16" s="1"/>
      <c r="E16" s="1"/>
      <c r="F16" s="1"/>
      <c r="H16">
        <v>11</v>
      </c>
      <c r="I16">
        <f t="shared" si="1"/>
        <v>1099</v>
      </c>
      <c r="J16" t="str">
        <f t="shared" si="0"/>
        <v>0x044B</v>
      </c>
      <c r="K16">
        <v>11</v>
      </c>
      <c r="M16" t="s">
        <v>121</v>
      </c>
      <c r="N16">
        <v>999</v>
      </c>
    </row>
    <row r="17" spans="1:14" x14ac:dyDescent="0.15">
      <c r="A17" s="8" t="s">
        <v>30</v>
      </c>
      <c r="B17" s="29" t="s">
        <v>31</v>
      </c>
      <c r="C17" s="29"/>
      <c r="D17" s="29"/>
      <c r="E17" t="s">
        <v>24</v>
      </c>
      <c r="F17" s="8"/>
      <c r="H17">
        <v>12</v>
      </c>
      <c r="I17">
        <f t="shared" si="1"/>
        <v>1099</v>
      </c>
      <c r="J17" t="str">
        <f t="shared" si="0"/>
        <v>0x044B</v>
      </c>
      <c r="K17">
        <v>12</v>
      </c>
      <c r="M17" t="s">
        <v>122</v>
      </c>
      <c r="N17">
        <v>998</v>
      </c>
    </row>
    <row r="18" spans="1:14" x14ac:dyDescent="0.15">
      <c r="A18" s="8" t="s">
        <v>32</v>
      </c>
      <c r="B18" s="30" t="s">
        <v>48</v>
      </c>
      <c r="C18" s="29"/>
      <c r="D18" s="29"/>
      <c r="E18" t="s">
        <v>28</v>
      </c>
      <c r="H18">
        <v>13</v>
      </c>
      <c r="I18">
        <f t="shared" si="1"/>
        <v>1098</v>
      </c>
      <c r="J18" t="str">
        <f t="shared" si="0"/>
        <v>0x044A</v>
      </c>
      <c r="K18">
        <v>13</v>
      </c>
      <c r="M18" t="s">
        <v>123</v>
      </c>
      <c r="N18">
        <v>998</v>
      </c>
    </row>
    <row r="19" spans="1:14" x14ac:dyDescent="0.15">
      <c r="A19" s="31"/>
      <c r="B19" s="31"/>
      <c r="C19" s="31"/>
      <c r="D19" s="31"/>
      <c r="E19" s="31"/>
      <c r="F19" s="31"/>
      <c r="H19">
        <v>14</v>
      </c>
      <c r="I19">
        <f t="shared" si="1"/>
        <v>1097</v>
      </c>
      <c r="J19" t="str">
        <f t="shared" si="0"/>
        <v>0x0449</v>
      </c>
      <c r="K19">
        <v>14</v>
      </c>
      <c r="M19" t="s">
        <v>124</v>
      </c>
      <c r="N19">
        <v>998</v>
      </c>
    </row>
    <row r="20" spans="1:14" x14ac:dyDescent="0.15">
      <c r="A20" s="9" t="s">
        <v>33</v>
      </c>
      <c r="B20" s="9" t="s">
        <v>37</v>
      </c>
      <c r="C20" s="10">
        <f>C6*2</f>
        <v>400</v>
      </c>
      <c r="H20">
        <v>15</v>
      </c>
      <c r="I20">
        <f t="shared" si="1"/>
        <v>1095</v>
      </c>
      <c r="J20" t="str">
        <f t="shared" si="0"/>
        <v>0x0447</v>
      </c>
      <c r="K20">
        <v>15</v>
      </c>
      <c r="M20" t="s">
        <v>125</v>
      </c>
      <c r="N20">
        <v>998</v>
      </c>
    </row>
    <row r="21" spans="1:14" ht="16.5" x14ac:dyDescent="0.15">
      <c r="A21" s="9" t="s">
        <v>34</v>
      </c>
      <c r="B21" s="9" t="s">
        <v>38</v>
      </c>
      <c r="C21" s="10">
        <v>200</v>
      </c>
      <c r="D21" s="9" t="s">
        <v>41</v>
      </c>
      <c r="E21">
        <f>C21*C10/C11</f>
        <v>1273.2406201955062</v>
      </c>
      <c r="F21" s="9" t="s">
        <v>55</v>
      </c>
      <c r="H21">
        <v>16</v>
      </c>
      <c r="I21">
        <f t="shared" si="1"/>
        <v>1093</v>
      </c>
      <c r="J21" t="str">
        <f t="shared" si="0"/>
        <v>0x0445</v>
      </c>
      <c r="K21">
        <v>16</v>
      </c>
      <c r="M21" t="s">
        <v>126</v>
      </c>
      <c r="N21">
        <v>998</v>
      </c>
    </row>
    <row r="22" spans="1:14" x14ac:dyDescent="0.15">
      <c r="A22" s="9" t="s">
        <v>36</v>
      </c>
      <c r="B22" s="9" t="s">
        <v>40</v>
      </c>
      <c r="C22" s="10">
        <v>30</v>
      </c>
      <c r="D22" s="9" t="s">
        <v>42</v>
      </c>
      <c r="E22">
        <f>C22*C10/C11</f>
        <v>190.98609302932593</v>
      </c>
      <c r="F22" s="9" t="s">
        <v>53</v>
      </c>
      <c r="H22">
        <v>17</v>
      </c>
      <c r="I22">
        <f t="shared" si="1"/>
        <v>1090</v>
      </c>
      <c r="J22" t="str">
        <f t="shared" si="0"/>
        <v>0x0442</v>
      </c>
      <c r="K22">
        <v>17</v>
      </c>
      <c r="M22" t="s">
        <v>127</v>
      </c>
      <c r="N22">
        <v>997</v>
      </c>
    </row>
    <row r="23" spans="1:14" x14ac:dyDescent="0.15">
      <c r="A23" s="9" t="s">
        <v>94</v>
      </c>
      <c r="B23" s="9" t="s">
        <v>95</v>
      </c>
      <c r="C23" s="10">
        <v>1</v>
      </c>
      <c r="D23" s="9" t="s">
        <v>42</v>
      </c>
      <c r="E23">
        <f>C23*C10/C11</f>
        <v>6.3662031009775317</v>
      </c>
      <c r="F23" s="9" t="s">
        <v>53</v>
      </c>
      <c r="H23">
        <v>18</v>
      </c>
      <c r="I23">
        <f t="shared" si="1"/>
        <v>1085</v>
      </c>
      <c r="J23" t="str">
        <f t="shared" si="0"/>
        <v>0x043D</v>
      </c>
      <c r="K23">
        <v>18</v>
      </c>
      <c r="M23" t="s">
        <v>128</v>
      </c>
      <c r="N23">
        <v>997</v>
      </c>
    </row>
    <row r="24" spans="1:14" x14ac:dyDescent="0.15">
      <c r="A24" s="15"/>
      <c r="B24" s="9"/>
      <c r="H24">
        <v>19</v>
      </c>
      <c r="I24">
        <f t="shared" si="1"/>
        <v>1079</v>
      </c>
      <c r="J24" t="str">
        <f t="shared" si="0"/>
        <v>0x0437</v>
      </c>
      <c r="K24">
        <v>19</v>
      </c>
      <c r="M24" t="s">
        <v>129</v>
      </c>
      <c r="N24">
        <v>997</v>
      </c>
    </row>
    <row r="25" spans="1:14" x14ac:dyDescent="0.15">
      <c r="H25">
        <v>20</v>
      </c>
      <c r="I25">
        <f t="shared" si="1"/>
        <v>1073</v>
      </c>
      <c r="J25" t="str">
        <f t="shared" si="0"/>
        <v>0x0431</v>
      </c>
      <c r="K25">
        <v>20</v>
      </c>
      <c r="M25" t="s">
        <v>130</v>
      </c>
      <c r="N25">
        <v>996</v>
      </c>
    </row>
    <row r="26" spans="1:14" x14ac:dyDescent="0.15">
      <c r="A26" s="9" t="s">
        <v>99</v>
      </c>
      <c r="B26" s="9" t="s">
        <v>101</v>
      </c>
      <c r="H26">
        <v>21</v>
      </c>
      <c r="I26">
        <f t="shared" si="1"/>
        <v>1067</v>
      </c>
      <c r="J26" t="str">
        <f t="shared" si="0"/>
        <v>0x042B</v>
      </c>
      <c r="K26">
        <v>21</v>
      </c>
      <c r="M26" t="s">
        <v>131</v>
      </c>
      <c r="N26">
        <v>996</v>
      </c>
    </row>
    <row r="27" spans="1:14" x14ac:dyDescent="0.15">
      <c r="B27" s="9" t="s">
        <v>100</v>
      </c>
      <c r="H27">
        <v>22</v>
      </c>
      <c r="I27">
        <f t="shared" si="1"/>
        <v>1061</v>
      </c>
      <c r="J27" t="str">
        <f t="shared" si="0"/>
        <v>0x0425</v>
      </c>
      <c r="K27">
        <v>22</v>
      </c>
      <c r="M27" t="s">
        <v>132</v>
      </c>
      <c r="N27">
        <v>996</v>
      </c>
    </row>
    <row r="28" spans="1:14" x14ac:dyDescent="0.15">
      <c r="A28">
        <v>0</v>
      </c>
      <c r="B28" s="9" t="s">
        <v>100</v>
      </c>
      <c r="C28" s="9" t="s">
        <v>105</v>
      </c>
      <c r="H28">
        <v>23</v>
      </c>
      <c r="I28">
        <f t="shared" si="1"/>
        <v>1056</v>
      </c>
      <c r="J28" t="str">
        <f t="shared" si="0"/>
        <v>0x0420</v>
      </c>
      <c r="K28">
        <v>23</v>
      </c>
      <c r="M28" t="s">
        <v>133</v>
      </c>
      <c r="N28">
        <v>995</v>
      </c>
    </row>
    <row r="29" spans="1:14" x14ac:dyDescent="0.15">
      <c r="A29">
        <v>1</v>
      </c>
      <c r="B29" s="9" t="s">
        <v>102</v>
      </c>
      <c r="C29" s="9" t="s">
        <v>106</v>
      </c>
      <c r="H29">
        <v>24</v>
      </c>
      <c r="I29">
        <f t="shared" si="1"/>
        <v>1053</v>
      </c>
      <c r="J29" t="str">
        <f t="shared" si="0"/>
        <v>0x041D</v>
      </c>
      <c r="K29">
        <v>24</v>
      </c>
      <c r="M29" t="s">
        <v>134</v>
      </c>
      <c r="N29">
        <v>995</v>
      </c>
    </row>
    <row r="30" spans="1:14" x14ac:dyDescent="0.15">
      <c r="A30">
        <v>2</v>
      </c>
      <c r="B30" s="9" t="s">
        <v>103</v>
      </c>
      <c r="C30" s="9" t="s">
        <v>107</v>
      </c>
      <c r="H30">
        <v>25</v>
      </c>
      <c r="I30">
        <f t="shared" si="1"/>
        <v>1051</v>
      </c>
      <c r="J30" t="str">
        <f t="shared" si="0"/>
        <v>0x041B</v>
      </c>
      <c r="K30">
        <v>25</v>
      </c>
      <c r="M30" t="s">
        <v>135</v>
      </c>
      <c r="N30">
        <v>994</v>
      </c>
    </row>
    <row r="31" spans="1:14" x14ac:dyDescent="0.15">
      <c r="A31">
        <v>3</v>
      </c>
      <c r="B31" s="9" t="s">
        <v>104</v>
      </c>
      <c r="C31" s="9" t="s">
        <v>108</v>
      </c>
      <c r="H31">
        <v>26</v>
      </c>
      <c r="I31">
        <f t="shared" si="1"/>
        <v>1049</v>
      </c>
      <c r="J31" t="str">
        <f t="shared" si="0"/>
        <v>0x0419</v>
      </c>
      <c r="K31">
        <v>26</v>
      </c>
      <c r="M31" t="s">
        <v>136</v>
      </c>
      <c r="N31">
        <v>993</v>
      </c>
    </row>
    <row r="32" spans="1:14" x14ac:dyDescent="0.15">
      <c r="B32" s="9"/>
      <c r="H32">
        <v>27</v>
      </c>
      <c r="I32">
        <f t="shared" si="1"/>
        <v>1048</v>
      </c>
      <c r="J32" t="str">
        <f t="shared" si="0"/>
        <v>0x0418</v>
      </c>
      <c r="K32">
        <v>27</v>
      </c>
      <c r="M32" t="s">
        <v>137</v>
      </c>
      <c r="N32">
        <v>993</v>
      </c>
    </row>
    <row r="33" spans="1:14" x14ac:dyDescent="0.15">
      <c r="H33">
        <v>28</v>
      </c>
      <c r="I33">
        <f t="shared" si="1"/>
        <v>1047</v>
      </c>
      <c r="J33" t="str">
        <f t="shared" si="0"/>
        <v>0x0417</v>
      </c>
      <c r="K33">
        <v>28</v>
      </c>
      <c r="M33" t="s">
        <v>138</v>
      </c>
      <c r="N33">
        <v>992</v>
      </c>
    </row>
    <row r="34" spans="1:14" x14ac:dyDescent="0.15">
      <c r="A34" s="9"/>
      <c r="D34" s="9"/>
      <c r="F34" s="9"/>
      <c r="H34">
        <v>29</v>
      </c>
      <c r="I34">
        <f t="shared" si="1"/>
        <v>1047</v>
      </c>
      <c r="J34" t="str">
        <f t="shared" si="0"/>
        <v>0x0417</v>
      </c>
      <c r="K34">
        <v>29</v>
      </c>
      <c r="M34" t="s">
        <v>139</v>
      </c>
      <c r="N34">
        <v>991</v>
      </c>
    </row>
    <row r="35" spans="1:14" x14ac:dyDescent="0.15">
      <c r="F35" s="9"/>
      <c r="H35">
        <v>30</v>
      </c>
      <c r="I35">
        <f t="shared" si="1"/>
        <v>1047</v>
      </c>
      <c r="J35" t="str">
        <f t="shared" si="0"/>
        <v>0x0417</v>
      </c>
      <c r="K35">
        <v>30</v>
      </c>
      <c r="M35" t="s">
        <v>140</v>
      </c>
      <c r="N35">
        <v>990</v>
      </c>
    </row>
    <row r="36" spans="1:14" x14ac:dyDescent="0.15">
      <c r="B36" s="9" t="s">
        <v>109</v>
      </c>
      <c r="H36">
        <v>31</v>
      </c>
      <c r="I36">
        <f t="shared" si="1"/>
        <v>1047</v>
      </c>
      <c r="J36" t="str">
        <f t="shared" si="0"/>
        <v>0x0417</v>
      </c>
      <c r="K36">
        <v>31</v>
      </c>
      <c r="M36" t="s">
        <v>141</v>
      </c>
      <c r="N36">
        <v>989</v>
      </c>
    </row>
    <row r="37" spans="1:14" x14ac:dyDescent="0.15">
      <c r="A37" s="13"/>
      <c r="B37" s="22">
        <f>INT($C$11 * $C$7  / C37)</f>
        <v>29999</v>
      </c>
      <c r="C37" s="23">
        <v>1.0471999999999999</v>
      </c>
      <c r="D37" s="22" t="s">
        <v>24</v>
      </c>
      <c r="E37" s="22">
        <f t="shared" ref="E37:E43" si="2">C37*60/(2*3.14159)</f>
        <v>10.000031831015503</v>
      </c>
      <c r="F37" s="1" t="s">
        <v>25</v>
      </c>
      <c r="H37">
        <v>32</v>
      </c>
      <c r="I37">
        <f t="shared" si="1"/>
        <v>1047</v>
      </c>
      <c r="J37" t="str">
        <f t="shared" si="0"/>
        <v>0x0417</v>
      </c>
      <c r="K37">
        <v>32</v>
      </c>
      <c r="M37" t="s">
        <v>142</v>
      </c>
      <c r="N37">
        <v>988</v>
      </c>
    </row>
    <row r="38" spans="1:14" x14ac:dyDescent="0.15">
      <c r="A38" s="13"/>
      <c r="B38" s="22">
        <f t="shared" ref="B38:B43" si="3">INT($C$11 * $C$7  / C38)</f>
        <v>2999</v>
      </c>
      <c r="C38" s="23">
        <v>10.472</v>
      </c>
      <c r="D38" s="22" t="s">
        <v>24</v>
      </c>
      <c r="E38" s="22">
        <f t="shared" si="2"/>
        <v>100.00031831015504</v>
      </c>
      <c r="F38" s="1" t="s">
        <v>25</v>
      </c>
      <c r="H38">
        <v>33</v>
      </c>
      <c r="I38">
        <f t="shared" si="1"/>
        <v>1047</v>
      </c>
      <c r="J38" t="str">
        <f t="shared" si="0"/>
        <v>0x0417</v>
      </c>
      <c r="K38">
        <v>33</v>
      </c>
      <c r="M38" t="s">
        <v>143</v>
      </c>
      <c r="N38">
        <v>987</v>
      </c>
    </row>
    <row r="39" spans="1:14" x14ac:dyDescent="0.15">
      <c r="A39" s="1"/>
      <c r="B39" s="1">
        <f t="shared" si="3"/>
        <v>749</v>
      </c>
      <c r="C39" s="21">
        <v>41.887999999999998</v>
      </c>
      <c r="D39" s="1" t="s">
        <v>24</v>
      </c>
      <c r="E39" s="1">
        <f t="shared" si="2"/>
        <v>400.00127324062015</v>
      </c>
      <c r="F39" s="1" t="s">
        <v>25</v>
      </c>
      <c r="H39">
        <v>34</v>
      </c>
      <c r="I39">
        <f t="shared" si="1"/>
        <v>1047</v>
      </c>
      <c r="J39" t="str">
        <f t="shared" si="0"/>
        <v>0x0417</v>
      </c>
      <c r="K39">
        <v>34</v>
      </c>
      <c r="M39" t="s">
        <v>144</v>
      </c>
      <c r="N39">
        <v>986</v>
      </c>
    </row>
    <row r="40" spans="1:14" x14ac:dyDescent="0.15">
      <c r="A40" s="1"/>
      <c r="B40" s="24">
        <f t="shared" si="3"/>
        <v>500</v>
      </c>
      <c r="C40" s="25">
        <v>62.831800000000001</v>
      </c>
      <c r="D40" s="24" t="s">
        <v>24</v>
      </c>
      <c r="E40" s="24">
        <f t="shared" si="2"/>
        <v>600</v>
      </c>
      <c r="F40" s="1" t="s">
        <v>25</v>
      </c>
      <c r="H40">
        <v>35</v>
      </c>
      <c r="I40">
        <f t="shared" si="1"/>
        <v>1047</v>
      </c>
      <c r="J40" t="str">
        <f t="shared" si="0"/>
        <v>0x0417</v>
      </c>
      <c r="K40">
        <v>35</v>
      </c>
      <c r="M40" t="s">
        <v>145</v>
      </c>
      <c r="N40">
        <v>984</v>
      </c>
    </row>
    <row r="41" spans="1:14" x14ac:dyDescent="0.15">
      <c r="A41" s="1"/>
      <c r="B41" s="24">
        <f t="shared" si="3"/>
        <v>399</v>
      </c>
      <c r="C41" s="25">
        <v>78.540000000000006</v>
      </c>
      <c r="D41" s="24" t="s">
        <v>24</v>
      </c>
      <c r="E41" s="24">
        <f t="shared" si="2"/>
        <v>750.00238732616299</v>
      </c>
      <c r="F41" s="1" t="s">
        <v>25</v>
      </c>
      <c r="H41">
        <v>36</v>
      </c>
      <c r="I41">
        <f t="shared" si="1"/>
        <v>1047</v>
      </c>
      <c r="J41" t="str">
        <f t="shared" si="0"/>
        <v>0x0417</v>
      </c>
      <c r="K41">
        <v>36</v>
      </c>
      <c r="M41" t="s">
        <v>146</v>
      </c>
      <c r="N41">
        <v>982</v>
      </c>
    </row>
    <row r="42" spans="1:14" x14ac:dyDescent="0.15">
      <c r="B42" s="24">
        <f t="shared" si="3"/>
        <v>250</v>
      </c>
      <c r="C42" s="25">
        <v>125.6636</v>
      </c>
      <c r="D42" s="24" t="s">
        <v>24</v>
      </c>
      <c r="E42" s="24">
        <f t="shared" si="2"/>
        <v>1200</v>
      </c>
      <c r="F42" s="1" t="s">
        <v>25</v>
      </c>
      <c r="H42">
        <v>37</v>
      </c>
      <c r="I42">
        <f t="shared" si="1"/>
        <v>1047</v>
      </c>
      <c r="J42" t="str">
        <f t="shared" si="0"/>
        <v>0x0417</v>
      </c>
      <c r="K42">
        <v>37</v>
      </c>
      <c r="M42" t="s">
        <v>147</v>
      </c>
      <c r="N42">
        <v>981</v>
      </c>
    </row>
    <row r="43" spans="1:14" x14ac:dyDescent="0.15">
      <c r="B43" s="1">
        <f t="shared" si="3"/>
        <v>200</v>
      </c>
      <c r="C43" s="21">
        <v>157.0795</v>
      </c>
      <c r="D43" s="1" t="s">
        <v>24</v>
      </c>
      <c r="E43" s="1">
        <f t="shared" si="2"/>
        <v>1500.0000000000002</v>
      </c>
      <c r="F43" s="1" t="s">
        <v>25</v>
      </c>
      <c r="H43">
        <v>38</v>
      </c>
      <c r="I43">
        <f t="shared" si="1"/>
        <v>1047</v>
      </c>
      <c r="J43" t="str">
        <f t="shared" si="0"/>
        <v>0x0417</v>
      </c>
      <c r="K43">
        <v>38</v>
      </c>
      <c r="M43" t="s">
        <v>148</v>
      </c>
      <c r="N43">
        <v>979</v>
      </c>
    </row>
    <row r="44" spans="1:14" x14ac:dyDescent="0.15">
      <c r="H44">
        <v>39</v>
      </c>
      <c r="I44">
        <f t="shared" si="1"/>
        <v>1047</v>
      </c>
      <c r="J44" t="str">
        <f t="shared" si="0"/>
        <v>0x0417</v>
      </c>
      <c r="K44">
        <v>39</v>
      </c>
      <c r="M44" t="s">
        <v>149</v>
      </c>
      <c r="N44">
        <v>977</v>
      </c>
    </row>
    <row r="45" spans="1:14" x14ac:dyDescent="0.15">
      <c r="H45">
        <v>40</v>
      </c>
      <c r="I45">
        <f t="shared" si="1"/>
        <v>1047</v>
      </c>
      <c r="J45" t="str">
        <f t="shared" si="0"/>
        <v>0x0417</v>
      </c>
      <c r="K45">
        <v>40</v>
      </c>
      <c r="M45" t="s">
        <v>150</v>
      </c>
      <c r="N45">
        <v>974</v>
      </c>
    </row>
    <row r="46" spans="1:14" x14ac:dyDescent="0.15">
      <c r="H46">
        <v>41</v>
      </c>
      <c r="I46">
        <f t="shared" si="1"/>
        <v>1047</v>
      </c>
      <c r="J46" t="str">
        <f t="shared" si="0"/>
        <v>0x0417</v>
      </c>
      <c r="K46">
        <v>41</v>
      </c>
      <c r="M46" t="s">
        <v>151</v>
      </c>
      <c r="N46">
        <v>972</v>
      </c>
    </row>
    <row r="47" spans="1:14" x14ac:dyDescent="0.15">
      <c r="H47">
        <v>42</v>
      </c>
      <c r="I47">
        <f t="shared" si="1"/>
        <v>1047</v>
      </c>
      <c r="J47" t="str">
        <f t="shared" si="0"/>
        <v>0x0417</v>
      </c>
      <c r="K47">
        <v>42</v>
      </c>
      <c r="M47" t="s">
        <v>152</v>
      </c>
      <c r="N47">
        <v>969</v>
      </c>
    </row>
    <row r="48" spans="1:14" x14ac:dyDescent="0.15">
      <c r="H48">
        <v>43</v>
      </c>
      <c r="I48">
        <f t="shared" si="1"/>
        <v>1047</v>
      </c>
      <c r="J48" t="str">
        <f t="shared" si="0"/>
        <v>0x0417</v>
      </c>
      <c r="K48">
        <v>43</v>
      </c>
      <c r="M48" t="s">
        <v>153</v>
      </c>
      <c r="N48">
        <v>966</v>
      </c>
    </row>
    <row r="49" spans="8:14" x14ac:dyDescent="0.15">
      <c r="H49">
        <v>44</v>
      </c>
      <c r="I49">
        <f t="shared" si="1"/>
        <v>1047</v>
      </c>
      <c r="J49" t="str">
        <f t="shared" si="0"/>
        <v>0x0417</v>
      </c>
      <c r="K49">
        <v>44</v>
      </c>
      <c r="M49" t="s">
        <v>154</v>
      </c>
      <c r="N49">
        <v>962</v>
      </c>
    </row>
    <row r="50" spans="8:14" x14ac:dyDescent="0.15">
      <c r="H50">
        <v>45</v>
      </c>
      <c r="I50">
        <f t="shared" si="1"/>
        <v>1047</v>
      </c>
      <c r="J50" t="str">
        <f t="shared" si="0"/>
        <v>0x0417</v>
      </c>
      <c r="K50">
        <v>45</v>
      </c>
      <c r="M50" t="s">
        <v>155</v>
      </c>
      <c r="N50">
        <v>959</v>
      </c>
    </row>
    <row r="51" spans="8:14" x14ac:dyDescent="0.15">
      <c r="H51">
        <v>46</v>
      </c>
      <c r="I51">
        <f t="shared" si="1"/>
        <v>1047</v>
      </c>
      <c r="J51" t="str">
        <f t="shared" si="0"/>
        <v>0x0417</v>
      </c>
      <c r="K51">
        <v>46</v>
      </c>
      <c r="M51" t="s">
        <v>156</v>
      </c>
      <c r="N51">
        <v>954</v>
      </c>
    </row>
    <row r="52" spans="8:14" x14ac:dyDescent="0.15">
      <c r="H52">
        <v>47</v>
      </c>
      <c r="I52">
        <f t="shared" si="1"/>
        <v>1047</v>
      </c>
      <c r="J52" t="str">
        <f t="shared" si="0"/>
        <v>0x0417</v>
      </c>
      <c r="K52">
        <v>47</v>
      </c>
      <c r="M52" t="s">
        <v>157</v>
      </c>
      <c r="N52">
        <v>950</v>
      </c>
    </row>
    <row r="53" spans="8:14" x14ac:dyDescent="0.15">
      <c r="H53">
        <v>48</v>
      </c>
      <c r="I53">
        <f t="shared" si="1"/>
        <v>1047</v>
      </c>
      <c r="J53" t="str">
        <f t="shared" si="0"/>
        <v>0x0417</v>
      </c>
      <c r="K53">
        <v>48</v>
      </c>
      <c r="M53" t="s">
        <v>158</v>
      </c>
      <c r="N53">
        <v>945</v>
      </c>
    </row>
    <row r="54" spans="8:14" x14ac:dyDescent="0.15">
      <c r="H54">
        <v>49</v>
      </c>
      <c r="I54">
        <f t="shared" si="1"/>
        <v>1047</v>
      </c>
      <c r="J54" t="str">
        <f t="shared" si="0"/>
        <v>0x0417</v>
      </c>
      <c r="K54">
        <v>49</v>
      </c>
      <c r="M54" t="s">
        <v>159</v>
      </c>
      <c r="N54">
        <v>940</v>
      </c>
    </row>
    <row r="55" spans="8:14" x14ac:dyDescent="0.15">
      <c r="H55">
        <v>50</v>
      </c>
      <c r="I55">
        <f t="shared" si="1"/>
        <v>1047</v>
      </c>
      <c r="J55" t="str">
        <f t="shared" si="0"/>
        <v>0x0417</v>
      </c>
      <c r="K55">
        <v>50</v>
      </c>
      <c r="M55" t="s">
        <v>160</v>
      </c>
      <c r="N55">
        <v>935</v>
      </c>
    </row>
    <row r="56" spans="8:14" x14ac:dyDescent="0.15">
      <c r="H56">
        <v>51</v>
      </c>
      <c r="I56">
        <f t="shared" si="1"/>
        <v>1047</v>
      </c>
      <c r="J56" t="str">
        <f t="shared" si="0"/>
        <v>0x0417</v>
      </c>
      <c r="K56">
        <v>51</v>
      </c>
      <c r="M56" t="s">
        <v>161</v>
      </c>
      <c r="N56">
        <v>928</v>
      </c>
    </row>
    <row r="57" spans="8:14" x14ac:dyDescent="0.15">
      <c r="H57">
        <v>52</v>
      </c>
      <c r="I57">
        <f t="shared" si="1"/>
        <v>1047</v>
      </c>
      <c r="J57" t="str">
        <f t="shared" si="0"/>
        <v>0x0417</v>
      </c>
      <c r="K57">
        <v>52</v>
      </c>
      <c r="M57" t="s">
        <v>162</v>
      </c>
      <c r="N57">
        <v>922</v>
      </c>
    </row>
    <row r="58" spans="8:14" x14ac:dyDescent="0.15">
      <c r="H58">
        <v>53</v>
      </c>
      <c r="I58">
        <f t="shared" si="1"/>
        <v>1047</v>
      </c>
      <c r="J58" t="str">
        <f t="shared" si="0"/>
        <v>0x0417</v>
      </c>
      <c r="K58">
        <v>53</v>
      </c>
      <c r="M58" t="s">
        <v>163</v>
      </c>
      <c r="N58">
        <v>915</v>
      </c>
    </row>
    <row r="59" spans="8:14" x14ac:dyDescent="0.15">
      <c r="H59">
        <v>54</v>
      </c>
      <c r="I59">
        <f t="shared" si="1"/>
        <v>1047</v>
      </c>
      <c r="J59" t="str">
        <f t="shared" si="0"/>
        <v>0x0417</v>
      </c>
      <c r="K59">
        <v>54</v>
      </c>
      <c r="M59" t="s">
        <v>164</v>
      </c>
      <c r="N59">
        <v>907</v>
      </c>
    </row>
    <row r="60" spans="8:14" x14ac:dyDescent="0.15">
      <c r="H60">
        <v>55</v>
      </c>
      <c r="I60">
        <f t="shared" si="1"/>
        <v>1047</v>
      </c>
      <c r="J60" t="str">
        <f t="shared" si="0"/>
        <v>0x0417</v>
      </c>
      <c r="K60">
        <v>55</v>
      </c>
      <c r="M60" t="s">
        <v>165</v>
      </c>
      <c r="N60">
        <v>899</v>
      </c>
    </row>
    <row r="61" spans="8:14" x14ac:dyDescent="0.15">
      <c r="H61">
        <v>56</v>
      </c>
      <c r="I61">
        <f t="shared" si="1"/>
        <v>1047</v>
      </c>
      <c r="J61" t="str">
        <f t="shared" si="0"/>
        <v>0x0417</v>
      </c>
      <c r="K61">
        <v>56</v>
      </c>
      <c r="M61" t="s">
        <v>166</v>
      </c>
      <c r="N61">
        <v>891</v>
      </c>
    </row>
    <row r="62" spans="8:14" x14ac:dyDescent="0.15">
      <c r="H62">
        <v>57</v>
      </c>
      <c r="I62">
        <f t="shared" si="1"/>
        <v>1047</v>
      </c>
      <c r="J62" t="str">
        <f t="shared" si="0"/>
        <v>0x0417</v>
      </c>
      <c r="K62">
        <v>57</v>
      </c>
      <c r="M62" t="s">
        <v>167</v>
      </c>
      <c r="N62">
        <v>881</v>
      </c>
    </row>
    <row r="63" spans="8:14" x14ac:dyDescent="0.15">
      <c r="H63">
        <v>58</v>
      </c>
      <c r="I63">
        <f t="shared" si="1"/>
        <v>1047</v>
      </c>
      <c r="J63" t="str">
        <f t="shared" si="0"/>
        <v>0x0417</v>
      </c>
      <c r="K63">
        <v>58</v>
      </c>
      <c r="M63" t="s">
        <v>168</v>
      </c>
      <c r="N63">
        <v>872</v>
      </c>
    </row>
    <row r="64" spans="8:14" x14ac:dyDescent="0.15">
      <c r="H64">
        <v>59</v>
      </c>
      <c r="I64">
        <f t="shared" si="1"/>
        <v>1047</v>
      </c>
      <c r="J64" t="str">
        <f t="shared" si="0"/>
        <v>0x0417</v>
      </c>
      <c r="K64">
        <v>59</v>
      </c>
      <c r="M64" t="s">
        <v>169</v>
      </c>
      <c r="N64">
        <v>861</v>
      </c>
    </row>
    <row r="65" spans="8:14" x14ac:dyDescent="0.15">
      <c r="H65">
        <v>60</v>
      </c>
      <c r="I65">
        <f t="shared" si="1"/>
        <v>1047</v>
      </c>
      <c r="J65" t="str">
        <f t="shared" si="0"/>
        <v>0x0417</v>
      </c>
      <c r="K65">
        <v>60</v>
      </c>
      <c r="M65" t="s">
        <v>170</v>
      </c>
      <c r="N65">
        <v>850</v>
      </c>
    </row>
    <row r="66" spans="8:14" x14ac:dyDescent="0.15">
      <c r="H66">
        <v>61</v>
      </c>
      <c r="I66">
        <f t="shared" si="1"/>
        <v>1047</v>
      </c>
      <c r="J66" t="str">
        <f t="shared" si="0"/>
        <v>0x0417</v>
      </c>
      <c r="K66">
        <v>61</v>
      </c>
      <c r="M66" t="s">
        <v>171</v>
      </c>
      <c r="N66">
        <v>839</v>
      </c>
    </row>
    <row r="67" spans="8:14" x14ac:dyDescent="0.15">
      <c r="H67">
        <v>62</v>
      </c>
      <c r="I67">
        <f t="shared" si="1"/>
        <v>1047</v>
      </c>
      <c r="J67" t="str">
        <f t="shared" si="0"/>
        <v>0x0417</v>
      </c>
      <c r="K67">
        <v>62</v>
      </c>
      <c r="M67" t="s">
        <v>172</v>
      </c>
      <c r="N67">
        <v>827</v>
      </c>
    </row>
    <row r="68" spans="8:14" x14ac:dyDescent="0.15">
      <c r="H68">
        <v>63</v>
      </c>
      <c r="I68">
        <f t="shared" si="1"/>
        <v>1047</v>
      </c>
      <c r="J68" t="str">
        <f t="shared" si="0"/>
        <v>0x0417</v>
      </c>
      <c r="K68">
        <v>63</v>
      </c>
      <c r="M68" t="s">
        <v>173</v>
      </c>
      <c r="N68">
        <v>814</v>
      </c>
    </row>
    <row r="69" spans="8:14" x14ac:dyDescent="0.15">
      <c r="H69">
        <v>64</v>
      </c>
      <c r="I69">
        <f t="shared" si="1"/>
        <v>1047</v>
      </c>
      <c r="J69" t="str">
        <f t="shared" si="0"/>
        <v>0x0417</v>
      </c>
      <c r="K69">
        <v>64</v>
      </c>
      <c r="M69" t="s">
        <v>174</v>
      </c>
      <c r="N69">
        <v>801</v>
      </c>
    </row>
    <row r="70" spans="8:14" x14ac:dyDescent="0.15">
      <c r="H70">
        <v>65</v>
      </c>
      <c r="I70">
        <f t="shared" ref="I70:I133" si="4">INT(($I$1-$I$2)/(1+EXP(-$I$3*(H70-$I$4)))+$I$2)</f>
        <v>1047</v>
      </c>
      <c r="J70" t="str">
        <f t="shared" ref="J70:J133" si="5">"0x" &amp; DEC2HEX(I70,4)</f>
        <v>0x0417</v>
      </c>
      <c r="K70">
        <v>65</v>
      </c>
      <c r="M70" t="s">
        <v>175</v>
      </c>
      <c r="N70">
        <v>787</v>
      </c>
    </row>
    <row r="71" spans="8:14" x14ac:dyDescent="0.15">
      <c r="H71">
        <v>66</v>
      </c>
      <c r="I71">
        <f t="shared" si="4"/>
        <v>1047</v>
      </c>
      <c r="J71" t="str">
        <f t="shared" si="5"/>
        <v>0x0417</v>
      </c>
      <c r="K71">
        <v>66</v>
      </c>
      <c r="M71" t="s">
        <v>176</v>
      </c>
      <c r="N71">
        <v>773</v>
      </c>
    </row>
    <row r="72" spans="8:14" x14ac:dyDescent="0.15">
      <c r="H72">
        <v>67</v>
      </c>
      <c r="I72">
        <f t="shared" si="4"/>
        <v>1047</v>
      </c>
      <c r="J72" t="str">
        <f t="shared" si="5"/>
        <v>0x0417</v>
      </c>
      <c r="K72">
        <v>67</v>
      </c>
      <c r="M72" t="s">
        <v>177</v>
      </c>
      <c r="N72">
        <v>759</v>
      </c>
    </row>
    <row r="73" spans="8:14" x14ac:dyDescent="0.15">
      <c r="H73">
        <v>68</v>
      </c>
      <c r="I73">
        <f t="shared" si="4"/>
        <v>1047</v>
      </c>
      <c r="J73" t="str">
        <f t="shared" si="5"/>
        <v>0x0417</v>
      </c>
      <c r="K73">
        <v>68</v>
      </c>
      <c r="M73" t="s">
        <v>178</v>
      </c>
      <c r="N73">
        <v>745</v>
      </c>
    </row>
    <row r="74" spans="8:14" x14ac:dyDescent="0.15">
      <c r="H74">
        <v>69</v>
      </c>
      <c r="I74">
        <f t="shared" si="4"/>
        <v>1047</v>
      </c>
      <c r="J74" t="str">
        <f t="shared" si="5"/>
        <v>0x0417</v>
      </c>
      <c r="K74">
        <v>69</v>
      </c>
      <c r="M74" t="s">
        <v>179</v>
      </c>
      <c r="N74">
        <v>730</v>
      </c>
    </row>
    <row r="75" spans="8:14" x14ac:dyDescent="0.15">
      <c r="H75">
        <v>70</v>
      </c>
      <c r="I75">
        <f t="shared" si="4"/>
        <v>1047</v>
      </c>
      <c r="J75" t="str">
        <f t="shared" si="5"/>
        <v>0x0417</v>
      </c>
      <c r="K75">
        <v>70</v>
      </c>
      <c r="M75" t="s">
        <v>180</v>
      </c>
      <c r="N75">
        <v>715</v>
      </c>
    </row>
    <row r="76" spans="8:14" x14ac:dyDescent="0.15">
      <c r="H76">
        <v>71</v>
      </c>
      <c r="I76">
        <f t="shared" si="4"/>
        <v>1047</v>
      </c>
      <c r="J76" t="str">
        <f t="shared" si="5"/>
        <v>0x0417</v>
      </c>
      <c r="K76">
        <v>71</v>
      </c>
      <c r="M76" t="s">
        <v>181</v>
      </c>
      <c r="N76">
        <v>700</v>
      </c>
    </row>
    <row r="77" spans="8:14" x14ac:dyDescent="0.15">
      <c r="H77">
        <v>72</v>
      </c>
      <c r="I77">
        <f t="shared" si="4"/>
        <v>1047</v>
      </c>
      <c r="J77" t="str">
        <f t="shared" si="5"/>
        <v>0x0417</v>
      </c>
      <c r="K77">
        <v>72</v>
      </c>
      <c r="M77" t="s">
        <v>182</v>
      </c>
      <c r="N77">
        <v>685</v>
      </c>
    </row>
    <row r="78" spans="8:14" x14ac:dyDescent="0.15">
      <c r="H78">
        <v>73</v>
      </c>
      <c r="I78">
        <f t="shared" si="4"/>
        <v>1047</v>
      </c>
      <c r="J78" t="str">
        <f t="shared" si="5"/>
        <v>0x0417</v>
      </c>
      <c r="K78">
        <v>73</v>
      </c>
      <c r="M78" t="s">
        <v>183</v>
      </c>
      <c r="N78">
        <v>670</v>
      </c>
    </row>
    <row r="79" spans="8:14" x14ac:dyDescent="0.15">
      <c r="H79">
        <v>74</v>
      </c>
      <c r="I79">
        <f t="shared" si="4"/>
        <v>1047</v>
      </c>
      <c r="J79" t="str">
        <f t="shared" si="5"/>
        <v>0x0417</v>
      </c>
      <c r="K79">
        <v>74</v>
      </c>
      <c r="M79" t="s">
        <v>184</v>
      </c>
      <c r="N79">
        <v>655</v>
      </c>
    </row>
    <row r="80" spans="8:14" x14ac:dyDescent="0.15">
      <c r="H80">
        <v>75</v>
      </c>
      <c r="I80">
        <f t="shared" si="4"/>
        <v>1047</v>
      </c>
      <c r="J80" t="str">
        <f t="shared" si="5"/>
        <v>0x0417</v>
      </c>
      <c r="K80">
        <v>75</v>
      </c>
      <c r="M80" t="s">
        <v>185</v>
      </c>
      <c r="N80">
        <v>641</v>
      </c>
    </row>
    <row r="81" spans="8:14" x14ac:dyDescent="0.15">
      <c r="H81">
        <v>76</v>
      </c>
      <c r="I81">
        <f t="shared" si="4"/>
        <v>1047</v>
      </c>
      <c r="J81" t="str">
        <f t="shared" si="5"/>
        <v>0x0417</v>
      </c>
      <c r="K81">
        <v>76</v>
      </c>
      <c r="M81" t="s">
        <v>186</v>
      </c>
      <c r="N81">
        <v>627</v>
      </c>
    </row>
    <row r="82" spans="8:14" x14ac:dyDescent="0.15">
      <c r="H82">
        <v>77</v>
      </c>
      <c r="I82">
        <f t="shared" si="4"/>
        <v>1047</v>
      </c>
      <c r="J82" t="str">
        <f t="shared" si="5"/>
        <v>0x0417</v>
      </c>
      <c r="K82">
        <v>77</v>
      </c>
      <c r="M82" t="s">
        <v>187</v>
      </c>
      <c r="N82">
        <v>613</v>
      </c>
    </row>
    <row r="83" spans="8:14" x14ac:dyDescent="0.15">
      <c r="H83">
        <v>78</v>
      </c>
      <c r="I83">
        <f t="shared" si="4"/>
        <v>1047</v>
      </c>
      <c r="J83" t="str">
        <f t="shared" si="5"/>
        <v>0x0417</v>
      </c>
      <c r="K83">
        <v>78</v>
      </c>
      <c r="M83" t="s">
        <v>188</v>
      </c>
      <c r="N83">
        <v>599</v>
      </c>
    </row>
    <row r="84" spans="8:14" x14ac:dyDescent="0.15">
      <c r="H84">
        <v>79</v>
      </c>
      <c r="I84">
        <f t="shared" si="4"/>
        <v>1047</v>
      </c>
      <c r="J84" t="str">
        <f t="shared" si="5"/>
        <v>0x0417</v>
      </c>
      <c r="K84">
        <v>79</v>
      </c>
      <c r="M84" t="s">
        <v>189</v>
      </c>
      <c r="N84">
        <v>586</v>
      </c>
    </row>
    <row r="85" spans="8:14" x14ac:dyDescent="0.15">
      <c r="H85">
        <v>80</v>
      </c>
      <c r="I85">
        <f t="shared" si="4"/>
        <v>1047</v>
      </c>
      <c r="J85" t="str">
        <f t="shared" si="5"/>
        <v>0x0417</v>
      </c>
      <c r="K85">
        <v>80</v>
      </c>
      <c r="M85" t="s">
        <v>190</v>
      </c>
      <c r="N85">
        <v>573</v>
      </c>
    </row>
    <row r="86" spans="8:14" x14ac:dyDescent="0.15">
      <c r="H86">
        <v>81</v>
      </c>
      <c r="I86">
        <f t="shared" si="4"/>
        <v>1047</v>
      </c>
      <c r="J86" t="str">
        <f t="shared" si="5"/>
        <v>0x0417</v>
      </c>
      <c r="K86">
        <v>82</v>
      </c>
      <c r="M86" t="s">
        <v>191</v>
      </c>
      <c r="N86">
        <v>561</v>
      </c>
    </row>
    <row r="87" spans="8:14" x14ac:dyDescent="0.15">
      <c r="H87">
        <v>82</v>
      </c>
      <c r="I87">
        <f t="shared" si="4"/>
        <v>1047</v>
      </c>
      <c r="J87" t="str">
        <f t="shared" si="5"/>
        <v>0x0417</v>
      </c>
      <c r="K87">
        <v>83</v>
      </c>
      <c r="M87" t="s">
        <v>192</v>
      </c>
      <c r="N87">
        <v>550</v>
      </c>
    </row>
    <row r="88" spans="8:14" x14ac:dyDescent="0.15">
      <c r="H88">
        <v>83</v>
      </c>
      <c r="I88">
        <f t="shared" si="4"/>
        <v>1047</v>
      </c>
      <c r="J88" t="str">
        <f t="shared" si="5"/>
        <v>0x0417</v>
      </c>
      <c r="K88">
        <v>84</v>
      </c>
      <c r="M88" t="s">
        <v>193</v>
      </c>
      <c r="N88">
        <v>539</v>
      </c>
    </row>
    <row r="89" spans="8:14" x14ac:dyDescent="0.15">
      <c r="H89">
        <v>84</v>
      </c>
      <c r="I89">
        <f t="shared" si="4"/>
        <v>1047</v>
      </c>
      <c r="J89" t="str">
        <f t="shared" si="5"/>
        <v>0x0417</v>
      </c>
      <c r="K89">
        <v>85</v>
      </c>
      <c r="M89" t="s">
        <v>194</v>
      </c>
      <c r="N89">
        <v>528</v>
      </c>
    </row>
    <row r="90" spans="8:14" x14ac:dyDescent="0.15">
      <c r="H90">
        <v>85</v>
      </c>
      <c r="I90">
        <f t="shared" si="4"/>
        <v>1047</v>
      </c>
      <c r="J90" t="str">
        <f t="shared" si="5"/>
        <v>0x0417</v>
      </c>
      <c r="K90">
        <v>86</v>
      </c>
      <c r="M90" t="s">
        <v>195</v>
      </c>
      <c r="N90">
        <v>519</v>
      </c>
    </row>
    <row r="91" spans="8:14" x14ac:dyDescent="0.15">
      <c r="H91">
        <v>86</v>
      </c>
      <c r="I91">
        <f t="shared" si="4"/>
        <v>1047</v>
      </c>
      <c r="J91" t="str">
        <f t="shared" si="5"/>
        <v>0x0417</v>
      </c>
      <c r="K91">
        <v>87</v>
      </c>
      <c r="M91" t="s">
        <v>196</v>
      </c>
      <c r="N91">
        <v>509</v>
      </c>
    </row>
    <row r="92" spans="8:14" x14ac:dyDescent="0.15">
      <c r="H92">
        <v>87</v>
      </c>
      <c r="I92">
        <f t="shared" si="4"/>
        <v>1047</v>
      </c>
      <c r="J92" t="str">
        <f t="shared" si="5"/>
        <v>0x0417</v>
      </c>
      <c r="K92">
        <v>88</v>
      </c>
      <c r="M92" t="s">
        <v>197</v>
      </c>
      <c r="N92">
        <v>501</v>
      </c>
    </row>
    <row r="93" spans="8:14" x14ac:dyDescent="0.15">
      <c r="H93">
        <v>88</v>
      </c>
      <c r="I93">
        <f t="shared" si="4"/>
        <v>1047</v>
      </c>
      <c r="J93" t="str">
        <f t="shared" si="5"/>
        <v>0x0417</v>
      </c>
      <c r="K93">
        <v>89</v>
      </c>
      <c r="M93" t="s">
        <v>198</v>
      </c>
      <c r="N93">
        <v>493</v>
      </c>
    </row>
    <row r="94" spans="8:14" x14ac:dyDescent="0.15">
      <c r="H94">
        <v>89</v>
      </c>
      <c r="I94">
        <f t="shared" si="4"/>
        <v>1047</v>
      </c>
      <c r="J94" t="str">
        <f t="shared" si="5"/>
        <v>0x0417</v>
      </c>
      <c r="K94">
        <v>90</v>
      </c>
      <c r="M94" t="s">
        <v>199</v>
      </c>
      <c r="N94">
        <v>485</v>
      </c>
    </row>
    <row r="95" spans="8:14" x14ac:dyDescent="0.15">
      <c r="H95">
        <v>90</v>
      </c>
      <c r="I95">
        <f t="shared" si="4"/>
        <v>1047</v>
      </c>
      <c r="J95" t="str">
        <f t="shared" si="5"/>
        <v>0x0417</v>
      </c>
      <c r="K95">
        <v>91</v>
      </c>
      <c r="M95" t="s">
        <v>200</v>
      </c>
      <c r="N95">
        <v>478</v>
      </c>
    </row>
    <row r="96" spans="8:14" x14ac:dyDescent="0.15">
      <c r="H96">
        <v>91</v>
      </c>
      <c r="I96">
        <f t="shared" si="4"/>
        <v>1047</v>
      </c>
      <c r="J96" t="str">
        <f t="shared" si="5"/>
        <v>0x0417</v>
      </c>
      <c r="K96">
        <v>92</v>
      </c>
      <c r="M96" t="s">
        <v>201</v>
      </c>
      <c r="N96">
        <v>472</v>
      </c>
    </row>
    <row r="97" spans="8:14" x14ac:dyDescent="0.15">
      <c r="H97">
        <v>92</v>
      </c>
      <c r="I97">
        <f t="shared" si="4"/>
        <v>1047</v>
      </c>
      <c r="J97" t="str">
        <f t="shared" si="5"/>
        <v>0x0417</v>
      </c>
      <c r="K97">
        <v>93</v>
      </c>
      <c r="M97" t="s">
        <v>202</v>
      </c>
      <c r="N97">
        <v>465</v>
      </c>
    </row>
    <row r="98" spans="8:14" x14ac:dyDescent="0.15">
      <c r="H98">
        <v>93</v>
      </c>
      <c r="I98">
        <f t="shared" si="4"/>
        <v>1047</v>
      </c>
      <c r="J98" t="str">
        <f t="shared" si="5"/>
        <v>0x0417</v>
      </c>
      <c r="K98">
        <v>94</v>
      </c>
      <c r="M98" t="s">
        <v>203</v>
      </c>
      <c r="N98">
        <v>460</v>
      </c>
    </row>
    <row r="99" spans="8:14" x14ac:dyDescent="0.15">
      <c r="H99">
        <v>94</v>
      </c>
      <c r="I99">
        <f t="shared" si="4"/>
        <v>1047</v>
      </c>
      <c r="J99" t="str">
        <f t="shared" si="5"/>
        <v>0x0417</v>
      </c>
      <c r="K99">
        <v>95</v>
      </c>
      <c r="M99" t="s">
        <v>204</v>
      </c>
      <c r="N99">
        <v>455</v>
      </c>
    </row>
    <row r="100" spans="8:14" x14ac:dyDescent="0.15">
      <c r="H100">
        <v>95</v>
      </c>
      <c r="I100">
        <f t="shared" si="4"/>
        <v>1047</v>
      </c>
      <c r="J100" t="str">
        <f t="shared" si="5"/>
        <v>0x0417</v>
      </c>
      <c r="K100">
        <v>96</v>
      </c>
      <c r="M100" t="s">
        <v>205</v>
      </c>
      <c r="N100">
        <v>450</v>
      </c>
    </row>
    <row r="101" spans="8:14" x14ac:dyDescent="0.15">
      <c r="H101">
        <v>96</v>
      </c>
      <c r="I101">
        <f t="shared" si="4"/>
        <v>1047</v>
      </c>
      <c r="J101" t="str">
        <f t="shared" si="5"/>
        <v>0x0417</v>
      </c>
      <c r="K101">
        <v>97</v>
      </c>
      <c r="M101" t="s">
        <v>206</v>
      </c>
      <c r="N101">
        <v>446</v>
      </c>
    </row>
    <row r="102" spans="8:14" x14ac:dyDescent="0.15">
      <c r="H102">
        <v>97</v>
      </c>
      <c r="I102">
        <f t="shared" si="4"/>
        <v>1047</v>
      </c>
      <c r="J102" t="str">
        <f t="shared" si="5"/>
        <v>0x0417</v>
      </c>
      <c r="K102">
        <v>98</v>
      </c>
      <c r="M102" t="s">
        <v>207</v>
      </c>
      <c r="N102">
        <v>441</v>
      </c>
    </row>
    <row r="103" spans="8:14" x14ac:dyDescent="0.15">
      <c r="H103">
        <v>98</v>
      </c>
      <c r="I103">
        <f t="shared" si="4"/>
        <v>1047</v>
      </c>
      <c r="J103" t="str">
        <f t="shared" si="5"/>
        <v>0x0417</v>
      </c>
      <c r="K103">
        <v>99</v>
      </c>
      <c r="M103" t="s">
        <v>208</v>
      </c>
      <c r="N103">
        <v>438</v>
      </c>
    </row>
    <row r="104" spans="8:14" x14ac:dyDescent="0.15">
      <c r="H104">
        <v>99</v>
      </c>
      <c r="I104">
        <f t="shared" si="4"/>
        <v>1047</v>
      </c>
      <c r="J104" t="str">
        <f t="shared" si="5"/>
        <v>0x0417</v>
      </c>
      <c r="K104">
        <v>100</v>
      </c>
      <c r="M104" t="s">
        <v>209</v>
      </c>
      <c r="N104">
        <v>434</v>
      </c>
    </row>
    <row r="105" spans="8:14" x14ac:dyDescent="0.15">
      <c r="H105">
        <v>100</v>
      </c>
      <c r="I105">
        <f t="shared" si="4"/>
        <v>1047</v>
      </c>
      <c r="J105" t="str">
        <f t="shared" si="5"/>
        <v>0x0417</v>
      </c>
      <c r="M105" t="s">
        <v>210</v>
      </c>
      <c r="N105">
        <v>431</v>
      </c>
    </row>
    <row r="106" spans="8:14" x14ac:dyDescent="0.15">
      <c r="H106">
        <v>101</v>
      </c>
      <c r="I106">
        <f t="shared" si="4"/>
        <v>1047</v>
      </c>
      <c r="J106" t="str">
        <f t="shared" si="5"/>
        <v>0x0417</v>
      </c>
      <c r="M106" t="s">
        <v>211</v>
      </c>
      <c r="N106">
        <v>428</v>
      </c>
    </row>
    <row r="107" spans="8:14" x14ac:dyDescent="0.15">
      <c r="H107">
        <v>102</v>
      </c>
      <c r="I107">
        <f t="shared" si="4"/>
        <v>1047</v>
      </c>
      <c r="J107" t="str">
        <f t="shared" si="5"/>
        <v>0x0417</v>
      </c>
      <c r="M107" t="s">
        <v>212</v>
      </c>
      <c r="N107">
        <v>426</v>
      </c>
    </row>
    <row r="108" spans="8:14" x14ac:dyDescent="0.15">
      <c r="H108">
        <v>103</v>
      </c>
      <c r="I108">
        <f t="shared" si="4"/>
        <v>1047</v>
      </c>
      <c r="J108" t="str">
        <f t="shared" si="5"/>
        <v>0x0417</v>
      </c>
      <c r="M108" t="s">
        <v>213</v>
      </c>
      <c r="N108">
        <v>423</v>
      </c>
    </row>
    <row r="109" spans="8:14" x14ac:dyDescent="0.15">
      <c r="H109">
        <v>104</v>
      </c>
      <c r="I109">
        <f t="shared" si="4"/>
        <v>1047</v>
      </c>
      <c r="J109" t="str">
        <f t="shared" si="5"/>
        <v>0x0417</v>
      </c>
      <c r="M109" t="s">
        <v>214</v>
      </c>
      <c r="N109">
        <v>421</v>
      </c>
    </row>
    <row r="110" spans="8:14" x14ac:dyDescent="0.15">
      <c r="H110">
        <v>105</v>
      </c>
      <c r="I110">
        <f t="shared" si="4"/>
        <v>1047</v>
      </c>
      <c r="J110" t="str">
        <f t="shared" si="5"/>
        <v>0x0417</v>
      </c>
      <c r="M110" t="s">
        <v>215</v>
      </c>
      <c r="N110">
        <v>419</v>
      </c>
    </row>
    <row r="111" spans="8:14" x14ac:dyDescent="0.15">
      <c r="H111">
        <v>106</v>
      </c>
      <c r="I111">
        <f t="shared" si="4"/>
        <v>1047</v>
      </c>
      <c r="J111" t="str">
        <f t="shared" si="5"/>
        <v>0x0417</v>
      </c>
      <c r="M111" t="s">
        <v>216</v>
      </c>
      <c r="N111">
        <v>418</v>
      </c>
    </row>
    <row r="112" spans="8:14" x14ac:dyDescent="0.15">
      <c r="H112">
        <v>107</v>
      </c>
      <c r="I112">
        <f t="shared" si="4"/>
        <v>1047</v>
      </c>
      <c r="J112" t="str">
        <f t="shared" si="5"/>
        <v>0x0417</v>
      </c>
      <c r="M112" t="s">
        <v>217</v>
      </c>
      <c r="N112">
        <v>416</v>
      </c>
    </row>
    <row r="113" spans="8:14" x14ac:dyDescent="0.15">
      <c r="H113">
        <v>108</v>
      </c>
      <c r="I113">
        <f t="shared" si="4"/>
        <v>1047</v>
      </c>
      <c r="J113" t="str">
        <f t="shared" si="5"/>
        <v>0x0417</v>
      </c>
      <c r="M113" t="s">
        <v>218</v>
      </c>
      <c r="N113">
        <v>414</v>
      </c>
    </row>
    <row r="114" spans="8:14" x14ac:dyDescent="0.15">
      <c r="H114">
        <v>109</v>
      </c>
      <c r="I114">
        <f t="shared" si="4"/>
        <v>1047</v>
      </c>
      <c r="J114" t="str">
        <f t="shared" si="5"/>
        <v>0x0417</v>
      </c>
      <c r="M114" t="s">
        <v>219</v>
      </c>
      <c r="N114">
        <v>413</v>
      </c>
    </row>
    <row r="115" spans="8:14" x14ac:dyDescent="0.15">
      <c r="H115">
        <v>110</v>
      </c>
      <c r="I115">
        <f t="shared" si="4"/>
        <v>1047</v>
      </c>
      <c r="J115" t="str">
        <f t="shared" si="5"/>
        <v>0x0417</v>
      </c>
      <c r="M115" t="s">
        <v>220</v>
      </c>
      <c r="N115">
        <v>412</v>
      </c>
    </row>
    <row r="116" spans="8:14" x14ac:dyDescent="0.15">
      <c r="H116">
        <v>111</v>
      </c>
      <c r="I116">
        <f t="shared" si="4"/>
        <v>1047</v>
      </c>
      <c r="J116" t="str">
        <f t="shared" si="5"/>
        <v>0x0417</v>
      </c>
      <c r="M116" t="s">
        <v>221</v>
      </c>
      <c r="N116">
        <v>411</v>
      </c>
    </row>
    <row r="117" spans="8:14" x14ac:dyDescent="0.15">
      <c r="H117">
        <v>112</v>
      </c>
      <c r="I117">
        <f t="shared" si="4"/>
        <v>1047</v>
      </c>
      <c r="J117" t="str">
        <f t="shared" si="5"/>
        <v>0x0417</v>
      </c>
      <c r="M117" t="s">
        <v>222</v>
      </c>
      <c r="N117">
        <v>410</v>
      </c>
    </row>
    <row r="118" spans="8:14" x14ac:dyDescent="0.15">
      <c r="H118">
        <v>113</v>
      </c>
      <c r="I118">
        <f t="shared" si="4"/>
        <v>1047</v>
      </c>
      <c r="J118" t="str">
        <f t="shared" si="5"/>
        <v>0x0417</v>
      </c>
      <c r="M118" t="s">
        <v>223</v>
      </c>
      <c r="N118">
        <v>409</v>
      </c>
    </row>
    <row r="119" spans="8:14" x14ac:dyDescent="0.15">
      <c r="H119">
        <v>114</v>
      </c>
      <c r="I119">
        <f t="shared" si="4"/>
        <v>1047</v>
      </c>
      <c r="J119" t="str">
        <f t="shared" si="5"/>
        <v>0x0417</v>
      </c>
      <c r="M119" t="s">
        <v>224</v>
      </c>
      <c r="N119">
        <v>408</v>
      </c>
    </row>
    <row r="120" spans="8:14" x14ac:dyDescent="0.15">
      <c r="H120">
        <v>115</v>
      </c>
      <c r="I120">
        <f t="shared" si="4"/>
        <v>1047</v>
      </c>
      <c r="J120" t="str">
        <f t="shared" si="5"/>
        <v>0x0417</v>
      </c>
      <c r="M120" t="s">
        <v>225</v>
      </c>
      <c r="N120">
        <v>407</v>
      </c>
    </row>
    <row r="121" spans="8:14" x14ac:dyDescent="0.15">
      <c r="H121">
        <v>116</v>
      </c>
      <c r="I121">
        <f t="shared" si="4"/>
        <v>1047</v>
      </c>
      <c r="J121" t="str">
        <f t="shared" si="5"/>
        <v>0x0417</v>
      </c>
      <c r="M121" t="s">
        <v>226</v>
      </c>
      <c r="N121">
        <v>407</v>
      </c>
    </row>
    <row r="122" spans="8:14" x14ac:dyDescent="0.15">
      <c r="H122">
        <v>117</v>
      </c>
      <c r="I122">
        <f t="shared" si="4"/>
        <v>1047</v>
      </c>
      <c r="J122" t="str">
        <f t="shared" si="5"/>
        <v>0x0417</v>
      </c>
      <c r="M122" t="s">
        <v>227</v>
      </c>
      <c r="N122">
        <v>406</v>
      </c>
    </row>
    <row r="123" spans="8:14" x14ac:dyDescent="0.15">
      <c r="H123">
        <v>118</v>
      </c>
      <c r="I123">
        <f t="shared" si="4"/>
        <v>1047</v>
      </c>
      <c r="J123" t="str">
        <f t="shared" si="5"/>
        <v>0x0417</v>
      </c>
      <c r="M123" t="s">
        <v>228</v>
      </c>
      <c r="N123">
        <v>405</v>
      </c>
    </row>
    <row r="124" spans="8:14" x14ac:dyDescent="0.15">
      <c r="H124">
        <v>119</v>
      </c>
      <c r="I124">
        <f t="shared" si="4"/>
        <v>1047</v>
      </c>
      <c r="J124" t="str">
        <f t="shared" si="5"/>
        <v>0x0417</v>
      </c>
      <c r="M124" t="s">
        <v>229</v>
      </c>
      <c r="N124">
        <v>405</v>
      </c>
    </row>
    <row r="125" spans="8:14" x14ac:dyDescent="0.15">
      <c r="H125">
        <v>120</v>
      </c>
      <c r="I125">
        <f t="shared" si="4"/>
        <v>1047</v>
      </c>
      <c r="J125" t="str">
        <f t="shared" si="5"/>
        <v>0x0417</v>
      </c>
      <c r="M125" t="s">
        <v>230</v>
      </c>
      <c r="N125">
        <v>404</v>
      </c>
    </row>
    <row r="126" spans="8:14" x14ac:dyDescent="0.15">
      <c r="H126">
        <v>121</v>
      </c>
      <c r="I126">
        <f t="shared" si="4"/>
        <v>1047</v>
      </c>
      <c r="J126" t="str">
        <f t="shared" si="5"/>
        <v>0x0417</v>
      </c>
      <c r="M126" t="s">
        <v>231</v>
      </c>
      <c r="N126">
        <v>404</v>
      </c>
    </row>
    <row r="127" spans="8:14" x14ac:dyDescent="0.15">
      <c r="H127">
        <v>122</v>
      </c>
      <c r="I127">
        <f t="shared" si="4"/>
        <v>1047</v>
      </c>
      <c r="J127" t="str">
        <f t="shared" si="5"/>
        <v>0x0417</v>
      </c>
      <c r="M127" t="s">
        <v>232</v>
      </c>
      <c r="N127">
        <v>404</v>
      </c>
    </row>
    <row r="128" spans="8:14" x14ac:dyDescent="0.15">
      <c r="H128">
        <v>123</v>
      </c>
      <c r="I128">
        <f t="shared" si="4"/>
        <v>1047</v>
      </c>
      <c r="J128" t="str">
        <f t="shared" si="5"/>
        <v>0x0417</v>
      </c>
      <c r="M128" t="s">
        <v>233</v>
      </c>
      <c r="N128">
        <v>403</v>
      </c>
    </row>
    <row r="129" spans="8:14" x14ac:dyDescent="0.15">
      <c r="H129">
        <v>124</v>
      </c>
      <c r="I129">
        <f t="shared" si="4"/>
        <v>1047</v>
      </c>
      <c r="J129" t="str">
        <f t="shared" si="5"/>
        <v>0x0417</v>
      </c>
      <c r="M129" t="s">
        <v>234</v>
      </c>
      <c r="N129">
        <v>403</v>
      </c>
    </row>
    <row r="130" spans="8:14" x14ac:dyDescent="0.15">
      <c r="H130">
        <v>125</v>
      </c>
      <c r="I130">
        <f t="shared" si="4"/>
        <v>1047</v>
      </c>
      <c r="J130" t="str">
        <f t="shared" si="5"/>
        <v>0x0417</v>
      </c>
      <c r="M130" t="s">
        <v>235</v>
      </c>
      <c r="N130">
        <v>403</v>
      </c>
    </row>
    <row r="131" spans="8:14" x14ac:dyDescent="0.15">
      <c r="H131">
        <v>126</v>
      </c>
      <c r="I131">
        <f t="shared" si="4"/>
        <v>1047</v>
      </c>
      <c r="J131" t="str">
        <f t="shared" si="5"/>
        <v>0x0417</v>
      </c>
      <c r="M131" t="s">
        <v>236</v>
      </c>
      <c r="N131">
        <v>402</v>
      </c>
    </row>
    <row r="132" spans="8:14" x14ac:dyDescent="0.15">
      <c r="H132">
        <v>127</v>
      </c>
      <c r="I132">
        <f t="shared" si="4"/>
        <v>1047</v>
      </c>
      <c r="J132" t="str">
        <f t="shared" si="5"/>
        <v>0x0417</v>
      </c>
      <c r="M132" t="s">
        <v>237</v>
      </c>
      <c r="N132">
        <v>402</v>
      </c>
    </row>
    <row r="133" spans="8:14" x14ac:dyDescent="0.15">
      <c r="H133">
        <v>128</v>
      </c>
      <c r="I133">
        <f t="shared" si="4"/>
        <v>1047</v>
      </c>
      <c r="J133" t="str">
        <f t="shared" si="5"/>
        <v>0x0417</v>
      </c>
      <c r="M133" t="s">
        <v>238</v>
      </c>
      <c r="N133">
        <v>402</v>
      </c>
    </row>
    <row r="134" spans="8:14" x14ac:dyDescent="0.15">
      <c r="H134">
        <v>129</v>
      </c>
      <c r="I134">
        <f t="shared" ref="I134:I197" si="6">INT(($I$1-$I$2)/(1+EXP(-$I$3*(H134-$I$4)))+$I$2)</f>
        <v>1047</v>
      </c>
      <c r="J134" t="str">
        <f t="shared" ref="J134:J197" si="7">"0x" &amp; DEC2HEX(I134,4)</f>
        <v>0x0417</v>
      </c>
      <c r="M134" t="s">
        <v>239</v>
      </c>
      <c r="N134">
        <v>402</v>
      </c>
    </row>
    <row r="135" spans="8:14" x14ac:dyDescent="0.15">
      <c r="H135">
        <v>130</v>
      </c>
      <c r="I135">
        <f t="shared" si="6"/>
        <v>1047</v>
      </c>
      <c r="J135" t="str">
        <f t="shared" si="7"/>
        <v>0x0417</v>
      </c>
      <c r="M135" t="s">
        <v>240</v>
      </c>
      <c r="N135">
        <v>402</v>
      </c>
    </row>
    <row r="136" spans="8:14" x14ac:dyDescent="0.15">
      <c r="H136">
        <v>131</v>
      </c>
      <c r="I136">
        <f t="shared" si="6"/>
        <v>1047</v>
      </c>
      <c r="J136" t="str">
        <f t="shared" si="7"/>
        <v>0x0417</v>
      </c>
      <c r="M136" t="s">
        <v>241</v>
      </c>
      <c r="N136">
        <v>401</v>
      </c>
    </row>
    <row r="137" spans="8:14" x14ac:dyDescent="0.15">
      <c r="H137">
        <v>132</v>
      </c>
      <c r="I137">
        <f t="shared" si="6"/>
        <v>1047</v>
      </c>
      <c r="J137" t="str">
        <f t="shared" si="7"/>
        <v>0x0417</v>
      </c>
      <c r="M137" t="s">
        <v>242</v>
      </c>
      <c r="N137">
        <v>401</v>
      </c>
    </row>
    <row r="138" spans="8:14" x14ac:dyDescent="0.15">
      <c r="H138">
        <v>133</v>
      </c>
      <c r="I138">
        <f t="shared" si="6"/>
        <v>1047</v>
      </c>
      <c r="J138" t="str">
        <f t="shared" si="7"/>
        <v>0x0417</v>
      </c>
      <c r="M138" t="s">
        <v>243</v>
      </c>
      <c r="N138">
        <v>401</v>
      </c>
    </row>
    <row r="139" spans="8:14" x14ac:dyDescent="0.15">
      <c r="H139">
        <v>134</v>
      </c>
      <c r="I139">
        <f t="shared" si="6"/>
        <v>1047</v>
      </c>
      <c r="J139" t="str">
        <f t="shared" si="7"/>
        <v>0x0417</v>
      </c>
      <c r="M139" t="s">
        <v>244</v>
      </c>
      <c r="N139">
        <v>401</v>
      </c>
    </row>
    <row r="140" spans="8:14" x14ac:dyDescent="0.15">
      <c r="H140">
        <v>135</v>
      </c>
      <c r="I140">
        <f t="shared" si="6"/>
        <v>1047</v>
      </c>
      <c r="J140" t="str">
        <f t="shared" si="7"/>
        <v>0x0417</v>
      </c>
      <c r="M140" t="s">
        <v>245</v>
      </c>
      <c r="N140">
        <v>401</v>
      </c>
    </row>
    <row r="141" spans="8:14" x14ac:dyDescent="0.15">
      <c r="H141">
        <v>136</v>
      </c>
      <c r="I141">
        <f t="shared" si="6"/>
        <v>1047</v>
      </c>
      <c r="J141" t="str">
        <f t="shared" si="7"/>
        <v>0x0417</v>
      </c>
      <c r="M141" t="s">
        <v>246</v>
      </c>
      <c r="N141">
        <v>401</v>
      </c>
    </row>
    <row r="142" spans="8:14" x14ac:dyDescent="0.15">
      <c r="H142">
        <v>137</v>
      </c>
      <c r="I142">
        <f t="shared" si="6"/>
        <v>1047</v>
      </c>
      <c r="J142" t="str">
        <f t="shared" si="7"/>
        <v>0x0417</v>
      </c>
      <c r="M142" t="s">
        <v>247</v>
      </c>
      <c r="N142">
        <v>401</v>
      </c>
    </row>
    <row r="143" spans="8:14" x14ac:dyDescent="0.15">
      <c r="H143">
        <v>138</v>
      </c>
      <c r="I143">
        <f t="shared" si="6"/>
        <v>1047</v>
      </c>
      <c r="J143" t="str">
        <f t="shared" si="7"/>
        <v>0x0417</v>
      </c>
      <c r="M143" t="s">
        <v>248</v>
      </c>
      <c r="N143">
        <v>401</v>
      </c>
    </row>
    <row r="144" spans="8:14" x14ac:dyDescent="0.15">
      <c r="H144">
        <v>139</v>
      </c>
      <c r="I144">
        <f t="shared" si="6"/>
        <v>1047</v>
      </c>
      <c r="J144" t="str">
        <f t="shared" si="7"/>
        <v>0x0417</v>
      </c>
      <c r="M144" t="s">
        <v>249</v>
      </c>
      <c r="N144">
        <v>401</v>
      </c>
    </row>
    <row r="145" spans="8:14" x14ac:dyDescent="0.15">
      <c r="H145">
        <v>140</v>
      </c>
      <c r="I145">
        <f t="shared" si="6"/>
        <v>1047</v>
      </c>
      <c r="J145" t="str">
        <f t="shared" si="7"/>
        <v>0x0417</v>
      </c>
      <c r="M145" t="s">
        <v>250</v>
      </c>
      <c r="N145">
        <v>401</v>
      </c>
    </row>
    <row r="146" spans="8:14" x14ac:dyDescent="0.15">
      <c r="H146">
        <v>141</v>
      </c>
      <c r="I146">
        <f t="shared" si="6"/>
        <v>1047</v>
      </c>
      <c r="J146" t="str">
        <f t="shared" si="7"/>
        <v>0x0417</v>
      </c>
      <c r="M146" t="s">
        <v>251</v>
      </c>
      <c r="N146">
        <v>401</v>
      </c>
    </row>
    <row r="147" spans="8:14" x14ac:dyDescent="0.15">
      <c r="H147">
        <v>142</v>
      </c>
      <c r="I147">
        <f t="shared" si="6"/>
        <v>1047</v>
      </c>
      <c r="J147" t="str">
        <f t="shared" si="7"/>
        <v>0x0417</v>
      </c>
      <c r="M147" t="s">
        <v>252</v>
      </c>
      <c r="N147">
        <v>401</v>
      </c>
    </row>
    <row r="148" spans="8:14" x14ac:dyDescent="0.15">
      <c r="H148">
        <v>143</v>
      </c>
      <c r="I148">
        <f t="shared" si="6"/>
        <v>1047</v>
      </c>
      <c r="J148" t="str">
        <f t="shared" si="7"/>
        <v>0x0417</v>
      </c>
      <c r="M148" t="s">
        <v>253</v>
      </c>
      <c r="N148">
        <v>401</v>
      </c>
    </row>
    <row r="149" spans="8:14" x14ac:dyDescent="0.15">
      <c r="H149">
        <v>144</v>
      </c>
      <c r="I149">
        <f t="shared" si="6"/>
        <v>1047</v>
      </c>
      <c r="J149" t="str">
        <f t="shared" si="7"/>
        <v>0x0417</v>
      </c>
      <c r="M149" t="s">
        <v>254</v>
      </c>
      <c r="N149">
        <v>401</v>
      </c>
    </row>
    <row r="150" spans="8:14" x14ac:dyDescent="0.15">
      <c r="H150">
        <v>145</v>
      </c>
      <c r="I150">
        <f t="shared" si="6"/>
        <v>1047</v>
      </c>
      <c r="J150" t="str">
        <f t="shared" si="7"/>
        <v>0x0417</v>
      </c>
      <c r="M150" t="s">
        <v>255</v>
      </c>
      <c r="N150">
        <v>401</v>
      </c>
    </row>
    <row r="151" spans="8:14" x14ac:dyDescent="0.15">
      <c r="H151">
        <v>146</v>
      </c>
      <c r="I151">
        <f t="shared" si="6"/>
        <v>1047</v>
      </c>
      <c r="J151" t="str">
        <f t="shared" si="7"/>
        <v>0x0417</v>
      </c>
      <c r="M151" t="s">
        <v>256</v>
      </c>
      <c r="N151">
        <v>401</v>
      </c>
    </row>
    <row r="152" spans="8:14" x14ac:dyDescent="0.15">
      <c r="H152">
        <v>147</v>
      </c>
      <c r="I152">
        <f t="shared" si="6"/>
        <v>1047</v>
      </c>
      <c r="J152" t="str">
        <f t="shared" si="7"/>
        <v>0x0417</v>
      </c>
      <c r="M152" t="s">
        <v>257</v>
      </c>
      <c r="N152">
        <v>401</v>
      </c>
    </row>
    <row r="153" spans="8:14" x14ac:dyDescent="0.15">
      <c r="H153">
        <v>148</v>
      </c>
      <c r="I153">
        <f t="shared" si="6"/>
        <v>1047</v>
      </c>
      <c r="J153" t="str">
        <f t="shared" si="7"/>
        <v>0x0417</v>
      </c>
      <c r="M153" t="s">
        <v>258</v>
      </c>
      <c r="N153">
        <v>401</v>
      </c>
    </row>
    <row r="154" spans="8:14" x14ac:dyDescent="0.15">
      <c r="H154">
        <v>149</v>
      </c>
      <c r="I154">
        <f t="shared" si="6"/>
        <v>1047</v>
      </c>
      <c r="J154" t="str">
        <f t="shared" si="7"/>
        <v>0x0417</v>
      </c>
      <c r="M154" t="s">
        <v>259</v>
      </c>
      <c r="N154">
        <v>401</v>
      </c>
    </row>
    <row r="155" spans="8:14" x14ac:dyDescent="0.15">
      <c r="H155">
        <v>150</v>
      </c>
      <c r="I155">
        <f t="shared" si="6"/>
        <v>1047</v>
      </c>
      <c r="J155" t="str">
        <f t="shared" si="7"/>
        <v>0x0417</v>
      </c>
      <c r="M155" t="s">
        <v>260</v>
      </c>
      <c r="N155">
        <v>401</v>
      </c>
    </row>
    <row r="156" spans="8:14" x14ac:dyDescent="0.15">
      <c r="H156">
        <v>151</v>
      </c>
      <c r="I156">
        <f t="shared" si="6"/>
        <v>1047</v>
      </c>
      <c r="J156" t="str">
        <f t="shared" si="7"/>
        <v>0x0417</v>
      </c>
      <c r="M156" t="s">
        <v>261</v>
      </c>
      <c r="N156">
        <v>401</v>
      </c>
    </row>
    <row r="157" spans="8:14" x14ac:dyDescent="0.15">
      <c r="H157">
        <v>152</v>
      </c>
      <c r="I157">
        <f t="shared" si="6"/>
        <v>1047</v>
      </c>
      <c r="J157" t="str">
        <f t="shared" si="7"/>
        <v>0x0417</v>
      </c>
      <c r="M157" t="s">
        <v>262</v>
      </c>
      <c r="N157">
        <v>401</v>
      </c>
    </row>
    <row r="158" spans="8:14" x14ac:dyDescent="0.15">
      <c r="H158">
        <v>153</v>
      </c>
      <c r="I158">
        <f t="shared" si="6"/>
        <v>1047</v>
      </c>
      <c r="J158" t="str">
        <f t="shared" si="7"/>
        <v>0x0417</v>
      </c>
      <c r="M158" t="s">
        <v>263</v>
      </c>
      <c r="N158">
        <v>402</v>
      </c>
    </row>
    <row r="159" spans="8:14" x14ac:dyDescent="0.15">
      <c r="H159">
        <v>154</v>
      </c>
      <c r="I159">
        <f t="shared" si="6"/>
        <v>1047</v>
      </c>
      <c r="J159" t="str">
        <f t="shared" si="7"/>
        <v>0x0417</v>
      </c>
      <c r="M159" t="s">
        <v>264</v>
      </c>
      <c r="N159">
        <v>402</v>
      </c>
    </row>
    <row r="160" spans="8:14" x14ac:dyDescent="0.15">
      <c r="H160">
        <v>155</v>
      </c>
      <c r="I160">
        <f t="shared" si="6"/>
        <v>1047</v>
      </c>
      <c r="J160" t="str">
        <f t="shared" si="7"/>
        <v>0x0417</v>
      </c>
      <c r="M160" t="s">
        <v>265</v>
      </c>
      <c r="N160">
        <v>402</v>
      </c>
    </row>
    <row r="161" spans="8:14" x14ac:dyDescent="0.15">
      <c r="H161">
        <v>156</v>
      </c>
      <c r="I161">
        <f t="shared" si="6"/>
        <v>1047</v>
      </c>
      <c r="J161" t="str">
        <f t="shared" si="7"/>
        <v>0x0417</v>
      </c>
      <c r="M161" t="s">
        <v>266</v>
      </c>
      <c r="N161">
        <v>402</v>
      </c>
    </row>
    <row r="162" spans="8:14" x14ac:dyDescent="0.15">
      <c r="H162">
        <v>157</v>
      </c>
      <c r="I162">
        <f t="shared" si="6"/>
        <v>1047</v>
      </c>
      <c r="J162" t="str">
        <f t="shared" si="7"/>
        <v>0x0417</v>
      </c>
      <c r="M162" t="s">
        <v>267</v>
      </c>
      <c r="N162">
        <v>402</v>
      </c>
    </row>
    <row r="163" spans="8:14" x14ac:dyDescent="0.15">
      <c r="H163">
        <v>158</v>
      </c>
      <c r="I163">
        <f t="shared" si="6"/>
        <v>1047</v>
      </c>
      <c r="J163" t="str">
        <f t="shared" si="7"/>
        <v>0x0417</v>
      </c>
      <c r="M163" t="s">
        <v>268</v>
      </c>
      <c r="N163">
        <v>403</v>
      </c>
    </row>
    <row r="164" spans="8:14" x14ac:dyDescent="0.15">
      <c r="H164">
        <v>159</v>
      </c>
      <c r="I164">
        <f t="shared" si="6"/>
        <v>1047</v>
      </c>
      <c r="J164" t="str">
        <f t="shared" si="7"/>
        <v>0x0417</v>
      </c>
      <c r="M164" t="s">
        <v>269</v>
      </c>
      <c r="N164">
        <v>403</v>
      </c>
    </row>
    <row r="165" spans="8:14" x14ac:dyDescent="0.15">
      <c r="H165">
        <v>160</v>
      </c>
      <c r="I165">
        <f t="shared" si="6"/>
        <v>1047</v>
      </c>
      <c r="J165" t="str">
        <f t="shared" si="7"/>
        <v>0x0417</v>
      </c>
      <c r="M165" t="s">
        <v>270</v>
      </c>
      <c r="N165">
        <v>403</v>
      </c>
    </row>
    <row r="166" spans="8:14" x14ac:dyDescent="0.15">
      <c r="H166">
        <v>161</v>
      </c>
      <c r="I166">
        <f t="shared" si="6"/>
        <v>1047</v>
      </c>
      <c r="J166" t="str">
        <f t="shared" si="7"/>
        <v>0x0417</v>
      </c>
      <c r="M166" t="s">
        <v>271</v>
      </c>
      <c r="N166">
        <v>404</v>
      </c>
    </row>
    <row r="167" spans="8:14" x14ac:dyDescent="0.15">
      <c r="H167">
        <v>162</v>
      </c>
      <c r="I167">
        <f t="shared" si="6"/>
        <v>1047</v>
      </c>
      <c r="J167" t="str">
        <f t="shared" si="7"/>
        <v>0x0417</v>
      </c>
      <c r="M167" t="s">
        <v>272</v>
      </c>
      <c r="N167">
        <v>404</v>
      </c>
    </row>
    <row r="168" spans="8:14" x14ac:dyDescent="0.15">
      <c r="H168">
        <v>163</v>
      </c>
      <c r="I168">
        <f t="shared" si="6"/>
        <v>1047</v>
      </c>
      <c r="J168" t="str">
        <f t="shared" si="7"/>
        <v>0x0417</v>
      </c>
      <c r="M168" t="s">
        <v>273</v>
      </c>
      <c r="N168">
        <v>404</v>
      </c>
    </row>
    <row r="169" spans="8:14" x14ac:dyDescent="0.15">
      <c r="H169">
        <v>164</v>
      </c>
      <c r="I169">
        <f t="shared" si="6"/>
        <v>1047</v>
      </c>
      <c r="J169" t="str">
        <f t="shared" si="7"/>
        <v>0x0417</v>
      </c>
      <c r="M169" t="s">
        <v>274</v>
      </c>
      <c r="N169">
        <v>405</v>
      </c>
    </row>
    <row r="170" spans="8:14" x14ac:dyDescent="0.15">
      <c r="H170">
        <v>165</v>
      </c>
      <c r="I170">
        <f t="shared" si="6"/>
        <v>1047</v>
      </c>
      <c r="J170" t="str">
        <f t="shared" si="7"/>
        <v>0x0417</v>
      </c>
      <c r="M170" t="s">
        <v>275</v>
      </c>
      <c r="N170">
        <v>405</v>
      </c>
    </row>
    <row r="171" spans="8:14" x14ac:dyDescent="0.15">
      <c r="H171">
        <v>166</v>
      </c>
      <c r="I171">
        <f t="shared" si="6"/>
        <v>1047</v>
      </c>
      <c r="J171" t="str">
        <f t="shared" si="7"/>
        <v>0x0417</v>
      </c>
      <c r="M171" t="s">
        <v>276</v>
      </c>
      <c r="N171">
        <v>406</v>
      </c>
    </row>
    <row r="172" spans="8:14" x14ac:dyDescent="0.15">
      <c r="H172">
        <v>167</v>
      </c>
      <c r="I172">
        <f t="shared" si="6"/>
        <v>1047</v>
      </c>
      <c r="J172" t="str">
        <f t="shared" si="7"/>
        <v>0x0417</v>
      </c>
      <c r="M172" t="s">
        <v>277</v>
      </c>
      <c r="N172">
        <v>407</v>
      </c>
    </row>
    <row r="173" spans="8:14" x14ac:dyDescent="0.15">
      <c r="H173">
        <v>168</v>
      </c>
      <c r="I173">
        <f t="shared" si="6"/>
        <v>1047</v>
      </c>
      <c r="J173" t="str">
        <f t="shared" si="7"/>
        <v>0x0417</v>
      </c>
      <c r="M173" t="s">
        <v>278</v>
      </c>
      <c r="N173">
        <v>407</v>
      </c>
    </row>
    <row r="174" spans="8:14" x14ac:dyDescent="0.15">
      <c r="H174">
        <v>169</v>
      </c>
      <c r="I174">
        <f t="shared" si="6"/>
        <v>1047</v>
      </c>
      <c r="J174" t="str">
        <f t="shared" si="7"/>
        <v>0x0417</v>
      </c>
      <c r="M174" t="s">
        <v>279</v>
      </c>
      <c r="N174">
        <v>408</v>
      </c>
    </row>
    <row r="175" spans="8:14" x14ac:dyDescent="0.15">
      <c r="H175">
        <v>170</v>
      </c>
      <c r="I175">
        <f t="shared" si="6"/>
        <v>1047</v>
      </c>
      <c r="J175" t="str">
        <f t="shared" si="7"/>
        <v>0x0417</v>
      </c>
      <c r="M175" t="s">
        <v>280</v>
      </c>
      <c r="N175">
        <v>409</v>
      </c>
    </row>
    <row r="176" spans="8:14" x14ac:dyDescent="0.15">
      <c r="H176">
        <v>171</v>
      </c>
      <c r="I176">
        <f t="shared" si="6"/>
        <v>1047</v>
      </c>
      <c r="J176" t="str">
        <f t="shared" si="7"/>
        <v>0x0417</v>
      </c>
      <c r="M176" t="s">
        <v>281</v>
      </c>
      <c r="N176">
        <v>410</v>
      </c>
    </row>
    <row r="177" spans="8:14" x14ac:dyDescent="0.15">
      <c r="H177">
        <v>172</v>
      </c>
      <c r="I177">
        <f t="shared" si="6"/>
        <v>1047</v>
      </c>
      <c r="J177" t="str">
        <f t="shared" si="7"/>
        <v>0x0417</v>
      </c>
      <c r="M177" t="s">
        <v>282</v>
      </c>
      <c r="N177">
        <v>411</v>
      </c>
    </row>
    <row r="178" spans="8:14" x14ac:dyDescent="0.15">
      <c r="H178">
        <v>173</v>
      </c>
      <c r="I178">
        <f t="shared" si="6"/>
        <v>1047</v>
      </c>
      <c r="J178" t="str">
        <f t="shared" si="7"/>
        <v>0x0417</v>
      </c>
      <c r="M178" t="s">
        <v>283</v>
      </c>
      <c r="N178">
        <v>412</v>
      </c>
    </row>
    <row r="179" spans="8:14" x14ac:dyDescent="0.15">
      <c r="H179">
        <v>174</v>
      </c>
      <c r="I179">
        <f t="shared" si="6"/>
        <v>1047</v>
      </c>
      <c r="J179" t="str">
        <f t="shared" si="7"/>
        <v>0x0417</v>
      </c>
      <c r="M179" t="s">
        <v>284</v>
      </c>
      <c r="N179">
        <v>413</v>
      </c>
    </row>
    <row r="180" spans="8:14" x14ac:dyDescent="0.15">
      <c r="H180">
        <v>175</v>
      </c>
      <c r="I180">
        <f t="shared" si="6"/>
        <v>1047</v>
      </c>
      <c r="J180" t="str">
        <f t="shared" si="7"/>
        <v>0x0417</v>
      </c>
      <c r="M180" t="s">
        <v>285</v>
      </c>
      <c r="N180">
        <v>414</v>
      </c>
    </row>
    <row r="181" spans="8:14" x14ac:dyDescent="0.15">
      <c r="H181">
        <v>176</v>
      </c>
      <c r="I181">
        <f t="shared" si="6"/>
        <v>1047</v>
      </c>
      <c r="J181" t="str">
        <f t="shared" si="7"/>
        <v>0x0417</v>
      </c>
      <c r="M181" t="s">
        <v>286</v>
      </c>
      <c r="N181">
        <v>416</v>
      </c>
    </row>
    <row r="182" spans="8:14" x14ac:dyDescent="0.15">
      <c r="H182">
        <v>177</v>
      </c>
      <c r="I182">
        <f t="shared" si="6"/>
        <v>1047</v>
      </c>
      <c r="J182" t="str">
        <f t="shared" si="7"/>
        <v>0x0417</v>
      </c>
      <c r="M182" t="s">
        <v>287</v>
      </c>
      <c r="N182">
        <v>418</v>
      </c>
    </row>
    <row r="183" spans="8:14" x14ac:dyDescent="0.15">
      <c r="H183">
        <v>178</v>
      </c>
      <c r="I183">
        <f t="shared" si="6"/>
        <v>1047</v>
      </c>
      <c r="J183" t="str">
        <f t="shared" si="7"/>
        <v>0x0417</v>
      </c>
      <c r="M183" t="s">
        <v>288</v>
      </c>
      <c r="N183">
        <v>419</v>
      </c>
    </row>
    <row r="184" spans="8:14" x14ac:dyDescent="0.15">
      <c r="H184">
        <v>179</v>
      </c>
      <c r="I184">
        <f t="shared" si="6"/>
        <v>1047</v>
      </c>
      <c r="J184" t="str">
        <f t="shared" si="7"/>
        <v>0x0417</v>
      </c>
      <c r="M184" t="s">
        <v>289</v>
      </c>
      <c r="N184">
        <v>421</v>
      </c>
    </row>
    <row r="185" spans="8:14" x14ac:dyDescent="0.15">
      <c r="H185">
        <v>180</v>
      </c>
      <c r="I185">
        <f t="shared" si="6"/>
        <v>1047</v>
      </c>
      <c r="J185" t="str">
        <f t="shared" si="7"/>
        <v>0x0417</v>
      </c>
      <c r="M185" t="s">
        <v>290</v>
      </c>
      <c r="N185">
        <v>423</v>
      </c>
    </row>
    <row r="186" spans="8:14" x14ac:dyDescent="0.15">
      <c r="H186">
        <v>181</v>
      </c>
      <c r="I186">
        <f t="shared" si="6"/>
        <v>1047</v>
      </c>
      <c r="J186" t="str">
        <f t="shared" si="7"/>
        <v>0x0417</v>
      </c>
      <c r="M186" t="s">
        <v>291</v>
      </c>
      <c r="N186">
        <v>426</v>
      </c>
    </row>
    <row r="187" spans="8:14" x14ac:dyDescent="0.15">
      <c r="H187">
        <v>182</v>
      </c>
      <c r="I187">
        <f t="shared" si="6"/>
        <v>1047</v>
      </c>
      <c r="J187" t="str">
        <f t="shared" si="7"/>
        <v>0x0417</v>
      </c>
      <c r="M187" t="s">
        <v>292</v>
      </c>
      <c r="N187">
        <v>428</v>
      </c>
    </row>
    <row r="188" spans="8:14" x14ac:dyDescent="0.15">
      <c r="H188">
        <v>183</v>
      </c>
      <c r="I188">
        <f t="shared" si="6"/>
        <v>1047</v>
      </c>
      <c r="J188" t="str">
        <f t="shared" si="7"/>
        <v>0x0417</v>
      </c>
      <c r="M188" t="s">
        <v>293</v>
      </c>
      <c r="N188">
        <v>431</v>
      </c>
    </row>
    <row r="189" spans="8:14" x14ac:dyDescent="0.15">
      <c r="H189">
        <v>184</v>
      </c>
      <c r="I189">
        <f t="shared" si="6"/>
        <v>1047</v>
      </c>
      <c r="J189" t="str">
        <f t="shared" si="7"/>
        <v>0x0417</v>
      </c>
      <c r="M189" t="s">
        <v>294</v>
      </c>
      <c r="N189">
        <v>434</v>
      </c>
    </row>
    <row r="190" spans="8:14" x14ac:dyDescent="0.15">
      <c r="H190">
        <v>185</v>
      </c>
      <c r="I190">
        <f t="shared" si="6"/>
        <v>1047</v>
      </c>
      <c r="J190" t="str">
        <f t="shared" si="7"/>
        <v>0x0417</v>
      </c>
      <c r="M190" t="s">
        <v>295</v>
      </c>
      <c r="N190">
        <v>438</v>
      </c>
    </row>
    <row r="191" spans="8:14" x14ac:dyDescent="0.15">
      <c r="H191">
        <v>186</v>
      </c>
      <c r="I191">
        <f t="shared" si="6"/>
        <v>1047</v>
      </c>
      <c r="J191" t="str">
        <f t="shared" si="7"/>
        <v>0x0417</v>
      </c>
      <c r="M191" t="s">
        <v>296</v>
      </c>
      <c r="N191">
        <v>441</v>
      </c>
    </row>
    <row r="192" spans="8:14" x14ac:dyDescent="0.15">
      <c r="H192">
        <v>187</v>
      </c>
      <c r="I192">
        <f t="shared" si="6"/>
        <v>1047</v>
      </c>
      <c r="J192" t="str">
        <f t="shared" si="7"/>
        <v>0x0417</v>
      </c>
      <c r="M192" t="s">
        <v>297</v>
      </c>
      <c r="N192">
        <v>446</v>
      </c>
    </row>
    <row r="193" spans="8:14" x14ac:dyDescent="0.15">
      <c r="H193">
        <v>188</v>
      </c>
      <c r="I193">
        <f t="shared" si="6"/>
        <v>1047</v>
      </c>
      <c r="J193" t="str">
        <f t="shared" si="7"/>
        <v>0x0417</v>
      </c>
      <c r="M193" t="s">
        <v>298</v>
      </c>
      <c r="N193">
        <v>450</v>
      </c>
    </row>
    <row r="194" spans="8:14" x14ac:dyDescent="0.15">
      <c r="H194">
        <v>189</v>
      </c>
      <c r="I194">
        <f t="shared" si="6"/>
        <v>1047</v>
      </c>
      <c r="J194" t="str">
        <f t="shared" si="7"/>
        <v>0x0417</v>
      </c>
      <c r="M194" t="s">
        <v>299</v>
      </c>
      <c r="N194">
        <v>455</v>
      </c>
    </row>
    <row r="195" spans="8:14" x14ac:dyDescent="0.15">
      <c r="H195">
        <v>190</v>
      </c>
      <c r="I195">
        <f t="shared" si="6"/>
        <v>1047</v>
      </c>
      <c r="J195" t="str">
        <f t="shared" si="7"/>
        <v>0x0417</v>
      </c>
      <c r="M195" t="s">
        <v>300</v>
      </c>
      <c r="N195">
        <v>460</v>
      </c>
    </row>
    <row r="196" spans="8:14" x14ac:dyDescent="0.15">
      <c r="H196">
        <v>191</v>
      </c>
      <c r="I196">
        <f t="shared" si="6"/>
        <v>1047</v>
      </c>
      <c r="J196" t="str">
        <f t="shared" si="7"/>
        <v>0x0417</v>
      </c>
      <c r="M196" t="s">
        <v>301</v>
      </c>
      <c r="N196">
        <v>465</v>
      </c>
    </row>
    <row r="197" spans="8:14" x14ac:dyDescent="0.15">
      <c r="H197">
        <v>192</v>
      </c>
      <c r="I197">
        <f t="shared" si="6"/>
        <v>1047</v>
      </c>
      <c r="J197" t="str">
        <f t="shared" si="7"/>
        <v>0x0417</v>
      </c>
      <c r="M197" t="s">
        <v>302</v>
      </c>
      <c r="N197">
        <v>472</v>
      </c>
    </row>
    <row r="198" spans="8:14" x14ac:dyDescent="0.15">
      <c r="H198">
        <v>193</v>
      </c>
      <c r="I198">
        <f t="shared" ref="I198:I204" si="8">INT(($I$1-$I$2)/(1+EXP(-$I$3*(H198-$I$4)))+$I$2)</f>
        <v>1047</v>
      </c>
      <c r="J198" t="str">
        <f t="shared" ref="J198:J204" si="9">"0x" &amp; DEC2HEX(I198,4)</f>
        <v>0x0417</v>
      </c>
      <c r="M198" t="s">
        <v>303</v>
      </c>
      <c r="N198">
        <v>478</v>
      </c>
    </row>
    <row r="199" spans="8:14" x14ac:dyDescent="0.15">
      <c r="H199">
        <v>194</v>
      </c>
      <c r="I199">
        <f t="shared" si="8"/>
        <v>1047</v>
      </c>
      <c r="J199" t="str">
        <f t="shared" si="9"/>
        <v>0x0417</v>
      </c>
      <c r="M199" t="s">
        <v>304</v>
      </c>
      <c r="N199">
        <v>485</v>
      </c>
    </row>
    <row r="200" spans="8:14" x14ac:dyDescent="0.15">
      <c r="H200">
        <v>195</v>
      </c>
      <c r="I200">
        <f t="shared" si="8"/>
        <v>1047</v>
      </c>
      <c r="J200" t="str">
        <f t="shared" si="9"/>
        <v>0x0417</v>
      </c>
      <c r="M200" t="s">
        <v>305</v>
      </c>
      <c r="N200">
        <v>493</v>
      </c>
    </row>
    <row r="201" spans="8:14" x14ac:dyDescent="0.15">
      <c r="H201">
        <v>196</v>
      </c>
      <c r="I201">
        <f t="shared" si="8"/>
        <v>1047</v>
      </c>
      <c r="J201" t="str">
        <f t="shared" si="9"/>
        <v>0x0417</v>
      </c>
      <c r="M201" t="s">
        <v>306</v>
      </c>
      <c r="N201">
        <v>501</v>
      </c>
    </row>
    <row r="202" spans="8:14" x14ac:dyDescent="0.15">
      <c r="H202">
        <v>197</v>
      </c>
      <c r="I202">
        <f t="shared" si="8"/>
        <v>1047</v>
      </c>
      <c r="J202" t="str">
        <f t="shared" si="9"/>
        <v>0x0417</v>
      </c>
      <c r="M202" t="s">
        <v>307</v>
      </c>
      <c r="N202">
        <v>509</v>
      </c>
    </row>
    <row r="203" spans="8:14" x14ac:dyDescent="0.15">
      <c r="H203">
        <v>198</v>
      </c>
      <c r="I203">
        <f t="shared" si="8"/>
        <v>1047</v>
      </c>
      <c r="J203" t="str">
        <f t="shared" si="9"/>
        <v>0x0417</v>
      </c>
      <c r="M203" t="s">
        <v>308</v>
      </c>
      <c r="N203">
        <v>519</v>
      </c>
    </row>
    <row r="204" spans="8:14" x14ac:dyDescent="0.15">
      <c r="H204">
        <v>199</v>
      </c>
      <c r="I204">
        <f t="shared" si="8"/>
        <v>1047</v>
      </c>
      <c r="J204" t="str">
        <f t="shared" si="9"/>
        <v>0x0417</v>
      </c>
      <c r="M204" t="s">
        <v>309</v>
      </c>
      <c r="N204">
        <v>528</v>
      </c>
    </row>
    <row r="205" spans="8:14" x14ac:dyDescent="0.15">
      <c r="M205" t="s">
        <v>310</v>
      </c>
      <c r="N205">
        <v>539</v>
      </c>
    </row>
    <row r="206" spans="8:14" x14ac:dyDescent="0.15">
      <c r="M206" t="s">
        <v>311</v>
      </c>
      <c r="N206">
        <v>550</v>
      </c>
    </row>
    <row r="207" spans="8:14" x14ac:dyDescent="0.15">
      <c r="M207" t="s">
        <v>312</v>
      </c>
      <c r="N207">
        <v>561</v>
      </c>
    </row>
    <row r="208" spans="8:14" x14ac:dyDescent="0.15">
      <c r="M208" t="s">
        <v>313</v>
      </c>
      <c r="N208">
        <v>573</v>
      </c>
    </row>
    <row r="209" spans="13:14" x14ac:dyDescent="0.15">
      <c r="M209" t="s">
        <v>314</v>
      </c>
      <c r="N209">
        <v>586</v>
      </c>
    </row>
    <row r="210" spans="13:14" x14ac:dyDescent="0.15">
      <c r="M210" t="s">
        <v>315</v>
      </c>
      <c r="N210">
        <v>599</v>
      </c>
    </row>
    <row r="211" spans="13:14" x14ac:dyDescent="0.15">
      <c r="M211" t="s">
        <v>316</v>
      </c>
      <c r="N211">
        <v>613</v>
      </c>
    </row>
    <row r="212" spans="13:14" x14ac:dyDescent="0.15">
      <c r="M212" t="s">
        <v>317</v>
      </c>
      <c r="N212">
        <v>627</v>
      </c>
    </row>
    <row r="213" spans="13:14" x14ac:dyDescent="0.15">
      <c r="M213" t="s">
        <v>318</v>
      </c>
      <c r="N213">
        <v>641</v>
      </c>
    </row>
    <row r="214" spans="13:14" x14ac:dyDescent="0.15">
      <c r="M214" t="s">
        <v>319</v>
      </c>
      <c r="N214">
        <v>655</v>
      </c>
    </row>
    <row r="215" spans="13:14" x14ac:dyDescent="0.15">
      <c r="M215" t="s">
        <v>320</v>
      </c>
      <c r="N215">
        <v>670</v>
      </c>
    </row>
    <row r="216" spans="13:14" x14ac:dyDescent="0.15">
      <c r="M216" t="s">
        <v>321</v>
      </c>
      <c r="N216">
        <v>685</v>
      </c>
    </row>
    <row r="217" spans="13:14" x14ac:dyDescent="0.15">
      <c r="M217" t="s">
        <v>322</v>
      </c>
      <c r="N217">
        <v>700</v>
      </c>
    </row>
    <row r="218" spans="13:14" x14ac:dyDescent="0.15">
      <c r="M218" t="s">
        <v>323</v>
      </c>
      <c r="N218">
        <v>715</v>
      </c>
    </row>
    <row r="219" spans="13:14" x14ac:dyDescent="0.15">
      <c r="M219" t="s">
        <v>324</v>
      </c>
      <c r="N219">
        <v>730</v>
      </c>
    </row>
    <row r="220" spans="13:14" x14ac:dyDescent="0.15">
      <c r="M220" t="s">
        <v>325</v>
      </c>
      <c r="N220">
        <v>745</v>
      </c>
    </row>
    <row r="221" spans="13:14" x14ac:dyDescent="0.15">
      <c r="M221" t="s">
        <v>326</v>
      </c>
      <c r="N221">
        <v>759</v>
      </c>
    </row>
    <row r="222" spans="13:14" x14ac:dyDescent="0.15">
      <c r="M222" t="s">
        <v>327</v>
      </c>
      <c r="N222">
        <v>773</v>
      </c>
    </row>
    <row r="223" spans="13:14" x14ac:dyDescent="0.15">
      <c r="M223" t="s">
        <v>328</v>
      </c>
      <c r="N223">
        <v>787</v>
      </c>
    </row>
    <row r="224" spans="13:14" x14ac:dyDescent="0.15">
      <c r="M224" t="s">
        <v>329</v>
      </c>
      <c r="N224">
        <v>801</v>
      </c>
    </row>
    <row r="225" spans="13:14" x14ac:dyDescent="0.15">
      <c r="M225" t="s">
        <v>330</v>
      </c>
      <c r="N225">
        <v>814</v>
      </c>
    </row>
    <row r="226" spans="13:14" x14ac:dyDescent="0.15">
      <c r="M226" t="s">
        <v>331</v>
      </c>
      <c r="N226">
        <v>827</v>
      </c>
    </row>
    <row r="227" spans="13:14" x14ac:dyDescent="0.15">
      <c r="M227" t="s">
        <v>332</v>
      </c>
      <c r="N227">
        <v>839</v>
      </c>
    </row>
    <row r="228" spans="13:14" x14ac:dyDescent="0.15">
      <c r="M228" t="s">
        <v>333</v>
      </c>
      <c r="N228">
        <v>850</v>
      </c>
    </row>
    <row r="229" spans="13:14" x14ac:dyDescent="0.15">
      <c r="M229" t="s">
        <v>334</v>
      </c>
      <c r="N229">
        <v>861</v>
      </c>
    </row>
    <row r="230" spans="13:14" x14ac:dyDescent="0.15">
      <c r="M230" t="s">
        <v>335</v>
      </c>
      <c r="N230">
        <v>872</v>
      </c>
    </row>
    <row r="231" spans="13:14" x14ac:dyDescent="0.15">
      <c r="M231" t="s">
        <v>336</v>
      </c>
      <c r="N231">
        <v>881</v>
      </c>
    </row>
    <row r="232" spans="13:14" x14ac:dyDescent="0.15">
      <c r="M232" t="s">
        <v>337</v>
      </c>
      <c r="N232">
        <v>891</v>
      </c>
    </row>
    <row r="233" spans="13:14" x14ac:dyDescent="0.15">
      <c r="M233" t="s">
        <v>338</v>
      </c>
      <c r="N233">
        <v>899</v>
      </c>
    </row>
    <row r="234" spans="13:14" x14ac:dyDescent="0.15">
      <c r="M234" t="s">
        <v>339</v>
      </c>
      <c r="N234">
        <v>907</v>
      </c>
    </row>
    <row r="235" spans="13:14" x14ac:dyDescent="0.15">
      <c r="M235" t="s">
        <v>340</v>
      </c>
      <c r="N235">
        <v>915</v>
      </c>
    </row>
    <row r="236" spans="13:14" x14ac:dyDescent="0.15">
      <c r="M236" t="s">
        <v>341</v>
      </c>
      <c r="N236">
        <v>922</v>
      </c>
    </row>
    <row r="237" spans="13:14" x14ac:dyDescent="0.15">
      <c r="M237" t="s">
        <v>342</v>
      </c>
      <c r="N237">
        <v>928</v>
      </c>
    </row>
    <row r="238" spans="13:14" x14ac:dyDescent="0.15">
      <c r="M238" t="s">
        <v>343</v>
      </c>
      <c r="N238">
        <v>935</v>
      </c>
    </row>
    <row r="239" spans="13:14" x14ac:dyDescent="0.15">
      <c r="M239" t="s">
        <v>344</v>
      </c>
      <c r="N239">
        <v>940</v>
      </c>
    </row>
    <row r="240" spans="13:14" x14ac:dyDescent="0.15">
      <c r="M240" t="s">
        <v>345</v>
      </c>
      <c r="N240">
        <v>945</v>
      </c>
    </row>
    <row r="241" spans="13:14" x14ac:dyDescent="0.15">
      <c r="M241" t="s">
        <v>346</v>
      </c>
      <c r="N241">
        <v>950</v>
      </c>
    </row>
    <row r="242" spans="13:14" x14ac:dyDescent="0.15">
      <c r="M242" t="s">
        <v>347</v>
      </c>
      <c r="N242">
        <v>954</v>
      </c>
    </row>
    <row r="243" spans="13:14" x14ac:dyDescent="0.15">
      <c r="M243" t="s">
        <v>348</v>
      </c>
      <c r="N243">
        <v>959</v>
      </c>
    </row>
    <row r="244" spans="13:14" x14ac:dyDescent="0.15">
      <c r="M244" t="s">
        <v>349</v>
      </c>
      <c r="N244">
        <v>962</v>
      </c>
    </row>
    <row r="245" spans="13:14" x14ac:dyDescent="0.15">
      <c r="M245" t="s">
        <v>350</v>
      </c>
      <c r="N245">
        <v>966</v>
      </c>
    </row>
    <row r="246" spans="13:14" x14ac:dyDescent="0.15">
      <c r="M246" t="s">
        <v>351</v>
      </c>
      <c r="N246">
        <v>969</v>
      </c>
    </row>
    <row r="247" spans="13:14" x14ac:dyDescent="0.15">
      <c r="M247" t="s">
        <v>352</v>
      </c>
      <c r="N247">
        <v>972</v>
      </c>
    </row>
    <row r="248" spans="13:14" x14ac:dyDescent="0.15">
      <c r="M248" t="s">
        <v>353</v>
      </c>
      <c r="N248">
        <v>974</v>
      </c>
    </row>
    <row r="249" spans="13:14" x14ac:dyDescent="0.15">
      <c r="M249" t="s">
        <v>354</v>
      </c>
      <c r="N249">
        <v>977</v>
      </c>
    </row>
    <row r="250" spans="13:14" x14ac:dyDescent="0.15">
      <c r="M250" t="s">
        <v>355</v>
      </c>
      <c r="N250">
        <v>979</v>
      </c>
    </row>
    <row r="251" spans="13:14" x14ac:dyDescent="0.15">
      <c r="M251" t="s">
        <v>356</v>
      </c>
      <c r="N251">
        <v>981</v>
      </c>
    </row>
    <row r="252" spans="13:14" x14ac:dyDescent="0.15">
      <c r="M252" t="s">
        <v>357</v>
      </c>
      <c r="N252">
        <v>982</v>
      </c>
    </row>
    <row r="253" spans="13:14" x14ac:dyDescent="0.15">
      <c r="M253" t="s">
        <v>358</v>
      </c>
      <c r="N253">
        <v>984</v>
      </c>
    </row>
    <row r="254" spans="13:14" x14ac:dyDescent="0.15">
      <c r="M254" t="s">
        <v>359</v>
      </c>
      <c r="N254">
        <v>986</v>
      </c>
    </row>
    <row r="255" spans="13:14" x14ac:dyDescent="0.15">
      <c r="M255" t="s">
        <v>360</v>
      </c>
      <c r="N255">
        <v>987</v>
      </c>
    </row>
    <row r="256" spans="13:14" x14ac:dyDescent="0.15">
      <c r="M256" t="s">
        <v>361</v>
      </c>
      <c r="N256">
        <v>988</v>
      </c>
    </row>
    <row r="257" spans="13:14" x14ac:dyDescent="0.15">
      <c r="M257" t="s">
        <v>362</v>
      </c>
      <c r="N257">
        <v>989</v>
      </c>
    </row>
    <row r="258" spans="13:14" x14ac:dyDescent="0.15">
      <c r="M258" t="s">
        <v>363</v>
      </c>
      <c r="N258">
        <v>990</v>
      </c>
    </row>
    <row r="259" spans="13:14" x14ac:dyDescent="0.15">
      <c r="M259" t="s">
        <v>364</v>
      </c>
      <c r="N259">
        <v>991</v>
      </c>
    </row>
    <row r="260" spans="13:14" x14ac:dyDescent="0.15">
      <c r="M260" t="s">
        <v>365</v>
      </c>
      <c r="N260">
        <v>992</v>
      </c>
    </row>
    <row r="261" spans="13:14" x14ac:dyDescent="0.15">
      <c r="M261" t="s">
        <v>366</v>
      </c>
      <c r="N261">
        <v>993</v>
      </c>
    </row>
    <row r="262" spans="13:14" x14ac:dyDescent="0.15">
      <c r="M262" t="s">
        <v>367</v>
      </c>
      <c r="N262">
        <v>993</v>
      </c>
    </row>
    <row r="263" spans="13:14" x14ac:dyDescent="0.15">
      <c r="M263" t="s">
        <v>368</v>
      </c>
      <c r="N263">
        <v>994</v>
      </c>
    </row>
    <row r="264" spans="13:14" x14ac:dyDescent="0.15">
      <c r="M264" t="s">
        <v>369</v>
      </c>
      <c r="N264">
        <v>995</v>
      </c>
    </row>
    <row r="265" spans="13:14" x14ac:dyDescent="0.15">
      <c r="M265" t="s">
        <v>370</v>
      </c>
      <c r="N265">
        <v>995</v>
      </c>
    </row>
    <row r="266" spans="13:14" x14ac:dyDescent="0.15">
      <c r="M266" t="s">
        <v>371</v>
      </c>
      <c r="N266">
        <v>996</v>
      </c>
    </row>
    <row r="267" spans="13:14" x14ac:dyDescent="0.15">
      <c r="M267" t="s">
        <v>372</v>
      </c>
      <c r="N267">
        <v>996</v>
      </c>
    </row>
    <row r="268" spans="13:14" x14ac:dyDescent="0.15">
      <c r="M268" t="s">
        <v>373</v>
      </c>
      <c r="N268">
        <v>996</v>
      </c>
    </row>
    <row r="269" spans="13:14" x14ac:dyDescent="0.15">
      <c r="M269" t="s">
        <v>374</v>
      </c>
      <c r="N269">
        <v>997</v>
      </c>
    </row>
    <row r="270" spans="13:14" x14ac:dyDescent="0.15">
      <c r="M270" t="s">
        <v>375</v>
      </c>
      <c r="N270">
        <v>997</v>
      </c>
    </row>
    <row r="271" spans="13:14" x14ac:dyDescent="0.15">
      <c r="M271" t="s">
        <v>376</v>
      </c>
      <c r="N271">
        <v>997</v>
      </c>
    </row>
    <row r="272" spans="13:14" x14ac:dyDescent="0.15">
      <c r="M272" t="s">
        <v>377</v>
      </c>
      <c r="N272">
        <v>998</v>
      </c>
    </row>
    <row r="273" spans="13:14" x14ac:dyDescent="0.15">
      <c r="M273" t="s">
        <v>378</v>
      </c>
      <c r="N273">
        <v>998</v>
      </c>
    </row>
    <row r="274" spans="13:14" x14ac:dyDescent="0.15">
      <c r="M274" t="s">
        <v>379</v>
      </c>
      <c r="N274">
        <v>998</v>
      </c>
    </row>
    <row r="275" spans="13:14" x14ac:dyDescent="0.15">
      <c r="M275" t="s">
        <v>380</v>
      </c>
      <c r="N275">
        <v>998</v>
      </c>
    </row>
    <row r="276" spans="13:14" x14ac:dyDescent="0.15">
      <c r="M276" t="s">
        <v>381</v>
      </c>
      <c r="N276">
        <v>998</v>
      </c>
    </row>
    <row r="277" spans="13:14" x14ac:dyDescent="0.15">
      <c r="M277" t="s">
        <v>382</v>
      </c>
      <c r="N277">
        <v>999</v>
      </c>
    </row>
    <row r="278" spans="13:14" x14ac:dyDescent="0.15">
      <c r="M278" t="s">
        <v>383</v>
      </c>
      <c r="N278">
        <v>999</v>
      </c>
    </row>
    <row r="279" spans="13:14" x14ac:dyDescent="0.15">
      <c r="M279" t="s">
        <v>384</v>
      </c>
      <c r="N279">
        <v>999</v>
      </c>
    </row>
    <row r="280" spans="13:14" x14ac:dyDescent="0.15">
      <c r="M280" t="s">
        <v>385</v>
      </c>
      <c r="N280">
        <v>999</v>
      </c>
    </row>
    <row r="281" spans="13:14" x14ac:dyDescent="0.15">
      <c r="M281" t="s">
        <v>386</v>
      </c>
      <c r="N281">
        <v>999</v>
      </c>
    </row>
    <row r="282" spans="13:14" x14ac:dyDescent="0.15">
      <c r="M282" t="s">
        <v>387</v>
      </c>
      <c r="N282">
        <v>999</v>
      </c>
    </row>
    <row r="283" spans="13:14" x14ac:dyDescent="0.15">
      <c r="M283" t="s">
        <v>388</v>
      </c>
      <c r="N283">
        <v>999</v>
      </c>
    </row>
    <row r="284" spans="13:14" x14ac:dyDescent="0.15">
      <c r="M284" t="s">
        <v>389</v>
      </c>
      <c r="N284">
        <v>999</v>
      </c>
    </row>
    <row r="285" spans="13:14" x14ac:dyDescent="0.15">
      <c r="M285" t="s">
        <v>390</v>
      </c>
      <c r="N285">
        <v>999</v>
      </c>
    </row>
    <row r="286" spans="13:14" x14ac:dyDescent="0.15">
      <c r="M286" t="s">
        <v>391</v>
      </c>
      <c r="N286">
        <v>999</v>
      </c>
    </row>
    <row r="287" spans="13:14" x14ac:dyDescent="0.15">
      <c r="M287" t="s">
        <v>392</v>
      </c>
      <c r="N287">
        <v>999</v>
      </c>
    </row>
    <row r="288" spans="13:14" x14ac:dyDescent="0.15">
      <c r="M288" t="s">
        <v>393</v>
      </c>
      <c r="N288">
        <v>1000</v>
      </c>
    </row>
  </sheetData>
  <mergeCells count="3">
    <mergeCell ref="B17:D17"/>
    <mergeCell ref="B18:D18"/>
    <mergeCell ref="A19:F19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4"/>
  <sheetViews>
    <sheetView topLeftCell="A19" workbookViewId="0">
      <selection sqref="A1:B56"/>
    </sheetView>
  </sheetViews>
  <sheetFormatPr defaultRowHeight="14.25" x14ac:dyDescent="0.15"/>
  <cols>
    <col min="3" max="3" width="33.875" bestFit="1" customWidth="1"/>
    <col min="8" max="8" width="33.875" bestFit="1" customWidth="1"/>
    <col min="13" max="13" width="33.875" bestFit="1" customWidth="1"/>
  </cols>
  <sheetData>
    <row r="1" spans="1:13" x14ac:dyDescent="0.15">
      <c r="A1">
        <v>1</v>
      </c>
      <c r="B1">
        <v>2000</v>
      </c>
      <c r="C1" t="s">
        <v>418</v>
      </c>
      <c r="F1" s="28">
        <v>1</v>
      </c>
      <c r="G1" s="26">
        <v>2000</v>
      </c>
      <c r="H1" t="s">
        <v>416</v>
      </c>
      <c r="K1" s="26">
        <v>1</v>
      </c>
      <c r="L1" s="26">
        <v>2000</v>
      </c>
      <c r="M1" t="s">
        <v>412</v>
      </c>
    </row>
    <row r="2" spans="1:13" x14ac:dyDescent="0.15">
      <c r="A2">
        <v>2</v>
      </c>
      <c r="B2">
        <v>1999</v>
      </c>
      <c r="C2" t="s">
        <v>413</v>
      </c>
      <c r="F2" s="26">
        <v>2</v>
      </c>
      <c r="G2" s="26">
        <v>1999</v>
      </c>
      <c r="H2" t="s">
        <v>413</v>
      </c>
      <c r="K2" s="26">
        <v>2</v>
      </c>
      <c r="L2" s="26">
        <v>1999</v>
      </c>
      <c r="M2" s="9" t="s">
        <v>414</v>
      </c>
    </row>
    <row r="3" spans="1:13" x14ac:dyDescent="0.15">
      <c r="A3">
        <v>3</v>
      </c>
      <c r="B3">
        <v>1999</v>
      </c>
      <c r="C3" t="s">
        <v>419</v>
      </c>
      <c r="F3" s="28">
        <v>3</v>
      </c>
      <c r="G3" s="26">
        <v>1999</v>
      </c>
      <c r="H3" t="s">
        <v>417</v>
      </c>
      <c r="K3" s="26">
        <v>3</v>
      </c>
      <c r="L3" s="26">
        <v>1999</v>
      </c>
      <c r="M3" t="s">
        <v>415</v>
      </c>
    </row>
    <row r="4" spans="1:13" x14ac:dyDescent="0.15">
      <c r="A4">
        <v>4</v>
      </c>
      <c r="B4">
        <v>1998</v>
      </c>
      <c r="F4" s="26">
        <v>4</v>
      </c>
      <c r="G4" s="26">
        <v>1998</v>
      </c>
      <c r="K4" s="26">
        <v>4</v>
      </c>
      <c r="L4" s="26">
        <v>1998</v>
      </c>
    </row>
    <row r="5" spans="1:13" x14ac:dyDescent="0.15">
      <c r="A5">
        <v>5</v>
      </c>
      <c r="B5">
        <v>1997</v>
      </c>
      <c r="F5" s="28">
        <v>5</v>
      </c>
      <c r="G5" s="26">
        <v>1997</v>
      </c>
      <c r="K5" s="26">
        <v>5</v>
      </c>
      <c r="L5" s="26">
        <v>1997</v>
      </c>
    </row>
    <row r="6" spans="1:13" x14ac:dyDescent="0.15">
      <c r="A6">
        <v>6</v>
      </c>
      <c r="B6">
        <v>1996</v>
      </c>
      <c r="F6" s="26">
        <v>6</v>
      </c>
      <c r="G6" s="26">
        <v>1995</v>
      </c>
      <c r="K6" s="26">
        <v>6</v>
      </c>
      <c r="L6" s="26">
        <v>1995</v>
      </c>
    </row>
    <row r="7" spans="1:13" x14ac:dyDescent="0.15">
      <c r="A7">
        <v>7</v>
      </c>
      <c r="B7">
        <v>1993</v>
      </c>
      <c r="F7" s="28">
        <v>7</v>
      </c>
      <c r="G7" s="26">
        <v>1991</v>
      </c>
      <c r="K7" s="26">
        <v>7</v>
      </c>
      <c r="L7" s="26">
        <v>1992</v>
      </c>
    </row>
    <row r="8" spans="1:13" x14ac:dyDescent="0.15">
      <c r="A8">
        <v>8</v>
      </c>
      <c r="B8">
        <v>1988</v>
      </c>
      <c r="F8" s="26">
        <v>8</v>
      </c>
      <c r="G8" s="26">
        <v>1986</v>
      </c>
      <c r="K8" s="26">
        <v>8</v>
      </c>
      <c r="L8" s="26">
        <v>1987</v>
      </c>
    </row>
    <row r="9" spans="1:13" x14ac:dyDescent="0.15">
      <c r="A9">
        <v>9</v>
      </c>
      <c r="B9">
        <v>1981</v>
      </c>
      <c r="F9" s="28">
        <v>9</v>
      </c>
      <c r="G9" s="26">
        <v>1977</v>
      </c>
      <c r="K9" s="26">
        <v>9</v>
      </c>
      <c r="L9" s="26">
        <v>1978</v>
      </c>
    </row>
    <row r="10" spans="1:13" x14ac:dyDescent="0.15">
      <c r="A10">
        <v>10</v>
      </c>
      <c r="B10">
        <v>1970</v>
      </c>
      <c r="F10" s="26">
        <v>10</v>
      </c>
      <c r="G10" s="26">
        <v>1962</v>
      </c>
      <c r="K10" s="26">
        <v>10</v>
      </c>
      <c r="L10" s="26">
        <v>1965</v>
      </c>
    </row>
    <row r="11" spans="1:13" x14ac:dyDescent="0.15">
      <c r="A11">
        <v>11</v>
      </c>
      <c r="B11">
        <v>1952</v>
      </c>
      <c r="F11" s="28">
        <v>11</v>
      </c>
      <c r="G11" s="26">
        <v>1939</v>
      </c>
      <c r="K11" s="26">
        <v>11</v>
      </c>
      <c r="L11" s="26">
        <v>1943</v>
      </c>
    </row>
    <row r="12" spans="1:13" x14ac:dyDescent="0.15">
      <c r="A12">
        <v>12</v>
      </c>
      <c r="B12">
        <v>1927</v>
      </c>
      <c r="F12" s="26">
        <v>12</v>
      </c>
      <c r="G12" s="26">
        <v>1905</v>
      </c>
      <c r="K12" s="26">
        <v>12</v>
      </c>
      <c r="L12" s="26">
        <v>1909</v>
      </c>
    </row>
    <row r="13" spans="1:13" x14ac:dyDescent="0.15">
      <c r="A13">
        <v>13</v>
      </c>
      <c r="B13">
        <v>1892</v>
      </c>
      <c r="F13" s="28">
        <v>13</v>
      </c>
      <c r="G13" s="26">
        <v>1854</v>
      </c>
      <c r="K13" s="26">
        <v>13</v>
      </c>
      <c r="L13" s="26">
        <v>1857</v>
      </c>
    </row>
    <row r="14" spans="1:13" x14ac:dyDescent="0.15">
      <c r="A14">
        <v>14</v>
      </c>
      <c r="B14">
        <v>1849</v>
      </c>
      <c r="F14" s="26">
        <v>14</v>
      </c>
      <c r="G14" s="26">
        <v>1785</v>
      </c>
      <c r="K14" s="26">
        <v>14</v>
      </c>
      <c r="L14" s="26">
        <v>1781</v>
      </c>
    </row>
    <row r="15" spans="1:13" x14ac:dyDescent="0.15">
      <c r="A15">
        <v>15</v>
      </c>
      <c r="B15">
        <v>1800</v>
      </c>
      <c r="F15" s="28">
        <v>15</v>
      </c>
      <c r="G15" s="26">
        <v>1698</v>
      </c>
      <c r="K15" s="26">
        <v>15</v>
      </c>
      <c r="L15" s="26">
        <v>1677</v>
      </c>
    </row>
    <row r="16" spans="1:13" x14ac:dyDescent="0.15">
      <c r="A16">
        <v>16</v>
      </c>
      <c r="B16">
        <v>1751</v>
      </c>
      <c r="F16" s="26">
        <v>16</v>
      </c>
      <c r="G16" s="26">
        <v>1600</v>
      </c>
      <c r="K16" s="26">
        <v>16</v>
      </c>
      <c r="L16" s="26">
        <v>1547</v>
      </c>
    </row>
    <row r="17" spans="1:12" x14ac:dyDescent="0.15">
      <c r="A17">
        <v>17</v>
      </c>
      <c r="B17">
        <v>1708</v>
      </c>
      <c r="F17" s="28">
        <v>17</v>
      </c>
      <c r="G17" s="26">
        <v>1502</v>
      </c>
      <c r="K17" s="26">
        <v>17</v>
      </c>
      <c r="L17" s="26">
        <v>1400</v>
      </c>
    </row>
    <row r="18" spans="1:12" x14ac:dyDescent="0.15">
      <c r="A18">
        <v>18</v>
      </c>
      <c r="B18">
        <v>1673</v>
      </c>
      <c r="F18" s="26">
        <v>18</v>
      </c>
      <c r="G18" s="26">
        <v>1415</v>
      </c>
      <c r="K18" s="26">
        <v>18</v>
      </c>
      <c r="L18" s="26">
        <v>1253</v>
      </c>
    </row>
    <row r="19" spans="1:12" x14ac:dyDescent="0.15">
      <c r="A19">
        <v>19</v>
      </c>
      <c r="B19">
        <v>1648</v>
      </c>
      <c r="F19" s="28">
        <v>19</v>
      </c>
      <c r="G19" s="26">
        <v>1346</v>
      </c>
      <c r="K19" s="26">
        <v>19</v>
      </c>
      <c r="L19" s="26">
        <v>1123</v>
      </c>
    </row>
    <row r="20" spans="1:12" x14ac:dyDescent="0.15">
      <c r="A20">
        <v>20</v>
      </c>
      <c r="B20">
        <v>1630</v>
      </c>
      <c r="F20" s="26">
        <v>20</v>
      </c>
      <c r="G20" s="26">
        <v>1295</v>
      </c>
      <c r="K20" s="26">
        <v>20</v>
      </c>
      <c r="L20" s="26">
        <v>1019</v>
      </c>
    </row>
    <row r="21" spans="1:12" x14ac:dyDescent="0.15">
      <c r="A21">
        <v>21</v>
      </c>
      <c r="B21">
        <v>1619</v>
      </c>
      <c r="F21" s="28">
        <v>21</v>
      </c>
      <c r="G21" s="26">
        <v>1261</v>
      </c>
      <c r="K21" s="26">
        <v>21</v>
      </c>
      <c r="L21" s="26">
        <v>943</v>
      </c>
    </row>
    <row r="22" spans="1:12" x14ac:dyDescent="0.15">
      <c r="A22">
        <v>22</v>
      </c>
      <c r="B22">
        <v>1612</v>
      </c>
      <c r="F22" s="26">
        <v>22</v>
      </c>
      <c r="G22" s="26">
        <v>1238</v>
      </c>
      <c r="K22" s="26">
        <v>22</v>
      </c>
      <c r="L22" s="26">
        <v>891</v>
      </c>
    </row>
    <row r="23" spans="1:12" x14ac:dyDescent="0.15">
      <c r="A23">
        <v>23</v>
      </c>
      <c r="B23">
        <v>1607</v>
      </c>
      <c r="F23" s="28">
        <v>23</v>
      </c>
      <c r="G23" s="26">
        <v>1223</v>
      </c>
      <c r="K23" s="26">
        <v>23</v>
      </c>
      <c r="L23" s="26">
        <v>857</v>
      </c>
    </row>
    <row r="24" spans="1:12" x14ac:dyDescent="0.15">
      <c r="A24">
        <v>24</v>
      </c>
      <c r="B24">
        <v>1604</v>
      </c>
      <c r="F24" s="26">
        <v>24</v>
      </c>
      <c r="G24" s="26">
        <v>1214</v>
      </c>
      <c r="K24" s="26">
        <v>24</v>
      </c>
      <c r="L24" s="26">
        <v>835</v>
      </c>
    </row>
    <row r="25" spans="1:12" x14ac:dyDescent="0.15">
      <c r="A25">
        <v>25</v>
      </c>
      <c r="B25">
        <v>1603</v>
      </c>
      <c r="F25" s="28">
        <v>25</v>
      </c>
      <c r="G25" s="26">
        <v>1209</v>
      </c>
      <c r="K25" s="26">
        <v>25</v>
      </c>
      <c r="L25" s="26">
        <v>822</v>
      </c>
    </row>
    <row r="26" spans="1:12" x14ac:dyDescent="0.15">
      <c r="A26">
        <v>26</v>
      </c>
      <c r="B26">
        <v>1602</v>
      </c>
      <c r="F26" s="26">
        <v>26</v>
      </c>
      <c r="G26" s="26">
        <v>1205</v>
      </c>
      <c r="K26" s="26">
        <v>26</v>
      </c>
      <c r="L26" s="26">
        <v>813</v>
      </c>
    </row>
    <row r="27" spans="1:12" x14ac:dyDescent="0.15">
      <c r="A27">
        <v>27</v>
      </c>
      <c r="B27">
        <v>1601</v>
      </c>
      <c r="F27" s="28">
        <v>27</v>
      </c>
      <c r="G27" s="26">
        <v>1203</v>
      </c>
      <c r="K27" s="26">
        <v>27</v>
      </c>
      <c r="L27" s="26">
        <v>808</v>
      </c>
    </row>
    <row r="28" spans="1:12" x14ac:dyDescent="0.15">
      <c r="A28">
        <v>28</v>
      </c>
      <c r="B28">
        <v>1601</v>
      </c>
      <c r="F28" s="26">
        <v>28</v>
      </c>
      <c r="G28" s="26">
        <v>1202</v>
      </c>
      <c r="K28" s="26">
        <v>28</v>
      </c>
      <c r="L28" s="26">
        <v>805</v>
      </c>
    </row>
    <row r="29" spans="1:12" x14ac:dyDescent="0.15">
      <c r="A29">
        <v>29</v>
      </c>
      <c r="B29">
        <v>1601</v>
      </c>
      <c r="F29" s="28">
        <v>29</v>
      </c>
      <c r="G29" s="26">
        <v>1201</v>
      </c>
      <c r="K29" s="26">
        <v>29</v>
      </c>
      <c r="L29" s="26">
        <v>803</v>
      </c>
    </row>
    <row r="30" spans="1:12" x14ac:dyDescent="0.15">
      <c r="A30">
        <v>30</v>
      </c>
      <c r="B30">
        <v>1601</v>
      </c>
      <c r="F30" s="26">
        <v>30</v>
      </c>
      <c r="G30" s="26">
        <v>1201</v>
      </c>
      <c r="K30" s="26">
        <v>30</v>
      </c>
      <c r="L30" s="26">
        <v>802</v>
      </c>
    </row>
    <row r="31" spans="1:12" x14ac:dyDescent="0.15">
      <c r="A31">
        <v>31</v>
      </c>
      <c r="B31">
        <v>1602</v>
      </c>
      <c r="F31" s="9">
        <v>31</v>
      </c>
      <c r="G31">
        <v>1201</v>
      </c>
      <c r="K31" s="26">
        <v>31</v>
      </c>
      <c r="L31" s="26">
        <v>801</v>
      </c>
    </row>
    <row r="32" spans="1:12" x14ac:dyDescent="0.15">
      <c r="A32">
        <v>32</v>
      </c>
      <c r="B32">
        <v>1603</v>
      </c>
      <c r="F32">
        <v>32</v>
      </c>
      <c r="G32">
        <v>1201</v>
      </c>
      <c r="K32" s="26">
        <v>32</v>
      </c>
      <c r="L32" s="26">
        <v>801</v>
      </c>
    </row>
    <row r="33" spans="1:12" x14ac:dyDescent="0.15">
      <c r="A33">
        <v>33</v>
      </c>
      <c r="B33">
        <v>1604</v>
      </c>
      <c r="F33" s="9">
        <v>33</v>
      </c>
      <c r="G33">
        <v>1202</v>
      </c>
      <c r="K33">
        <v>33</v>
      </c>
      <c r="L33">
        <v>801</v>
      </c>
    </row>
    <row r="34" spans="1:12" x14ac:dyDescent="0.15">
      <c r="A34">
        <v>34</v>
      </c>
      <c r="B34">
        <v>1607</v>
      </c>
      <c r="F34">
        <v>34</v>
      </c>
      <c r="G34">
        <v>1203</v>
      </c>
      <c r="K34">
        <v>34</v>
      </c>
      <c r="L34">
        <v>801</v>
      </c>
    </row>
    <row r="35" spans="1:12" x14ac:dyDescent="0.15">
      <c r="A35">
        <v>35</v>
      </c>
      <c r="B35">
        <v>1612</v>
      </c>
      <c r="F35" s="9">
        <v>35</v>
      </c>
      <c r="G35">
        <v>1205</v>
      </c>
      <c r="K35">
        <v>35</v>
      </c>
      <c r="L35">
        <v>802</v>
      </c>
    </row>
    <row r="36" spans="1:12" x14ac:dyDescent="0.15">
      <c r="A36">
        <v>36</v>
      </c>
      <c r="B36">
        <v>1619</v>
      </c>
      <c r="F36">
        <v>36</v>
      </c>
      <c r="G36">
        <v>1209</v>
      </c>
      <c r="K36">
        <v>36</v>
      </c>
      <c r="L36">
        <v>803</v>
      </c>
    </row>
    <row r="37" spans="1:12" x14ac:dyDescent="0.15">
      <c r="A37">
        <v>37</v>
      </c>
      <c r="B37">
        <v>1630</v>
      </c>
      <c r="F37" s="9">
        <v>37</v>
      </c>
      <c r="G37">
        <v>1214</v>
      </c>
      <c r="K37">
        <v>37</v>
      </c>
      <c r="L37">
        <v>805</v>
      </c>
    </row>
    <row r="38" spans="1:12" x14ac:dyDescent="0.15">
      <c r="A38">
        <v>38</v>
      </c>
      <c r="B38">
        <v>1648</v>
      </c>
      <c r="F38">
        <v>38</v>
      </c>
      <c r="G38">
        <v>1223</v>
      </c>
      <c r="K38">
        <v>38</v>
      </c>
      <c r="L38">
        <v>808</v>
      </c>
    </row>
    <row r="39" spans="1:12" x14ac:dyDescent="0.15">
      <c r="A39">
        <v>39</v>
      </c>
      <c r="B39">
        <v>1673</v>
      </c>
      <c r="F39" s="9">
        <v>39</v>
      </c>
      <c r="G39">
        <v>1238</v>
      </c>
      <c r="K39">
        <v>39</v>
      </c>
      <c r="L39">
        <v>813</v>
      </c>
    </row>
    <row r="40" spans="1:12" x14ac:dyDescent="0.15">
      <c r="A40">
        <v>40</v>
      </c>
      <c r="B40">
        <v>1708</v>
      </c>
      <c r="F40">
        <v>40</v>
      </c>
      <c r="G40">
        <v>1261</v>
      </c>
      <c r="K40">
        <v>40</v>
      </c>
      <c r="L40">
        <v>822</v>
      </c>
    </row>
    <row r="41" spans="1:12" x14ac:dyDescent="0.15">
      <c r="A41">
        <v>41</v>
      </c>
      <c r="B41">
        <v>1751</v>
      </c>
      <c r="F41" s="9">
        <v>41</v>
      </c>
      <c r="G41">
        <v>1295</v>
      </c>
      <c r="K41">
        <v>41</v>
      </c>
      <c r="L41">
        <v>835</v>
      </c>
    </row>
    <row r="42" spans="1:12" x14ac:dyDescent="0.15">
      <c r="A42">
        <v>42</v>
      </c>
      <c r="B42">
        <v>1800</v>
      </c>
      <c r="F42">
        <v>42</v>
      </c>
      <c r="G42">
        <v>1346</v>
      </c>
      <c r="K42">
        <v>42</v>
      </c>
      <c r="L42">
        <v>857</v>
      </c>
    </row>
    <row r="43" spans="1:12" x14ac:dyDescent="0.15">
      <c r="A43">
        <v>43</v>
      </c>
      <c r="B43">
        <v>1849</v>
      </c>
      <c r="F43" s="9">
        <v>43</v>
      </c>
      <c r="G43">
        <v>1415</v>
      </c>
      <c r="K43">
        <v>43</v>
      </c>
      <c r="L43">
        <v>891</v>
      </c>
    </row>
    <row r="44" spans="1:12" x14ac:dyDescent="0.15">
      <c r="A44">
        <v>44</v>
      </c>
      <c r="B44">
        <v>1892</v>
      </c>
      <c r="F44">
        <v>44</v>
      </c>
      <c r="G44">
        <v>1502</v>
      </c>
      <c r="K44">
        <v>44</v>
      </c>
      <c r="L44">
        <v>943</v>
      </c>
    </row>
    <row r="45" spans="1:12" x14ac:dyDescent="0.15">
      <c r="A45">
        <v>45</v>
      </c>
      <c r="B45">
        <v>1927</v>
      </c>
      <c r="F45" s="9">
        <v>45</v>
      </c>
      <c r="G45">
        <v>1600</v>
      </c>
      <c r="K45">
        <v>45</v>
      </c>
      <c r="L45">
        <v>1019</v>
      </c>
    </row>
    <row r="46" spans="1:12" x14ac:dyDescent="0.15">
      <c r="A46">
        <v>46</v>
      </c>
      <c r="B46">
        <v>1952</v>
      </c>
      <c r="F46">
        <v>46</v>
      </c>
      <c r="G46">
        <v>1698</v>
      </c>
      <c r="K46">
        <v>46</v>
      </c>
      <c r="L46">
        <v>1123</v>
      </c>
    </row>
    <row r="47" spans="1:12" x14ac:dyDescent="0.15">
      <c r="A47">
        <v>47</v>
      </c>
      <c r="B47">
        <v>1970</v>
      </c>
      <c r="F47" s="9">
        <v>47</v>
      </c>
      <c r="G47">
        <v>1785</v>
      </c>
      <c r="K47">
        <v>47</v>
      </c>
      <c r="L47">
        <v>1253</v>
      </c>
    </row>
    <row r="48" spans="1:12" x14ac:dyDescent="0.15">
      <c r="A48">
        <v>48</v>
      </c>
      <c r="B48">
        <v>1981</v>
      </c>
      <c r="F48">
        <v>48</v>
      </c>
      <c r="G48">
        <v>1854</v>
      </c>
      <c r="K48">
        <v>48</v>
      </c>
      <c r="L48">
        <v>1400</v>
      </c>
    </row>
    <row r="49" spans="1:12" x14ac:dyDescent="0.15">
      <c r="A49">
        <v>49</v>
      </c>
      <c r="B49">
        <v>1988</v>
      </c>
      <c r="F49" s="9">
        <v>49</v>
      </c>
      <c r="G49">
        <v>1905</v>
      </c>
      <c r="K49">
        <v>49</v>
      </c>
      <c r="L49">
        <v>1547</v>
      </c>
    </row>
    <row r="50" spans="1:12" x14ac:dyDescent="0.15">
      <c r="A50">
        <v>50</v>
      </c>
      <c r="B50">
        <v>1993</v>
      </c>
      <c r="F50">
        <v>50</v>
      </c>
      <c r="G50">
        <v>1939</v>
      </c>
      <c r="K50">
        <v>50</v>
      </c>
      <c r="L50">
        <v>1677</v>
      </c>
    </row>
    <row r="51" spans="1:12" x14ac:dyDescent="0.15">
      <c r="A51">
        <v>51</v>
      </c>
      <c r="B51">
        <v>1996</v>
      </c>
      <c r="F51" s="9">
        <v>51</v>
      </c>
      <c r="G51">
        <v>1962</v>
      </c>
      <c r="K51">
        <v>51</v>
      </c>
      <c r="L51">
        <v>1781</v>
      </c>
    </row>
    <row r="52" spans="1:12" x14ac:dyDescent="0.15">
      <c r="A52">
        <v>52</v>
      </c>
      <c r="B52">
        <v>1997</v>
      </c>
      <c r="F52">
        <v>52</v>
      </c>
      <c r="G52">
        <v>1977</v>
      </c>
      <c r="K52">
        <v>52</v>
      </c>
      <c r="L52">
        <v>1857</v>
      </c>
    </row>
    <row r="53" spans="1:12" x14ac:dyDescent="0.15">
      <c r="A53">
        <v>53</v>
      </c>
      <c r="B53">
        <v>1998</v>
      </c>
      <c r="F53" s="9">
        <v>53</v>
      </c>
      <c r="G53">
        <v>1986</v>
      </c>
      <c r="K53">
        <v>53</v>
      </c>
      <c r="L53">
        <v>1909</v>
      </c>
    </row>
    <row r="54" spans="1:12" x14ac:dyDescent="0.15">
      <c r="A54">
        <v>54</v>
      </c>
      <c r="B54">
        <v>1999</v>
      </c>
      <c r="F54">
        <v>54</v>
      </c>
      <c r="G54">
        <v>1991</v>
      </c>
      <c r="K54">
        <v>54</v>
      </c>
      <c r="L54">
        <v>1943</v>
      </c>
    </row>
    <row r="55" spans="1:12" x14ac:dyDescent="0.15">
      <c r="A55">
        <v>55</v>
      </c>
      <c r="B55">
        <v>1999</v>
      </c>
      <c r="F55" s="9">
        <v>55</v>
      </c>
      <c r="G55">
        <v>1995</v>
      </c>
      <c r="K55">
        <v>55</v>
      </c>
      <c r="L55">
        <v>1965</v>
      </c>
    </row>
    <row r="56" spans="1:12" x14ac:dyDescent="0.15">
      <c r="A56">
        <v>56</v>
      </c>
      <c r="B56">
        <v>2000</v>
      </c>
      <c r="F56">
        <v>56</v>
      </c>
      <c r="G56">
        <v>1997</v>
      </c>
      <c r="K56">
        <v>56</v>
      </c>
      <c r="L56">
        <v>1978</v>
      </c>
    </row>
    <row r="57" spans="1:12" x14ac:dyDescent="0.15">
      <c r="F57" s="9">
        <v>57</v>
      </c>
      <c r="G57">
        <v>1998</v>
      </c>
      <c r="K57">
        <v>57</v>
      </c>
      <c r="L57">
        <v>1987</v>
      </c>
    </row>
    <row r="58" spans="1:12" x14ac:dyDescent="0.15">
      <c r="F58">
        <v>58</v>
      </c>
      <c r="G58">
        <v>1999</v>
      </c>
      <c r="K58">
        <v>58</v>
      </c>
      <c r="L58">
        <v>1992</v>
      </c>
    </row>
    <row r="59" spans="1:12" x14ac:dyDescent="0.15">
      <c r="F59" s="9">
        <v>59</v>
      </c>
      <c r="G59">
        <v>1999</v>
      </c>
      <c r="K59">
        <v>59</v>
      </c>
      <c r="L59">
        <v>1995</v>
      </c>
    </row>
    <row r="60" spans="1:12" x14ac:dyDescent="0.15">
      <c r="F60">
        <v>60</v>
      </c>
      <c r="G60">
        <v>2000</v>
      </c>
      <c r="K60">
        <v>60</v>
      </c>
      <c r="L60">
        <v>1997</v>
      </c>
    </row>
    <row r="61" spans="1:12" x14ac:dyDescent="0.15">
      <c r="K61">
        <v>61</v>
      </c>
      <c r="L61">
        <v>1998</v>
      </c>
    </row>
    <row r="62" spans="1:12" x14ac:dyDescent="0.15">
      <c r="K62">
        <v>62</v>
      </c>
      <c r="L62">
        <v>1999</v>
      </c>
    </row>
    <row r="63" spans="1:12" x14ac:dyDescent="0.15">
      <c r="K63">
        <v>63</v>
      </c>
      <c r="L63">
        <v>1999</v>
      </c>
    </row>
    <row r="64" spans="1:12" x14ac:dyDescent="0.15">
      <c r="K64">
        <v>64</v>
      </c>
      <c r="L64">
        <v>2000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6"/>
  <sheetViews>
    <sheetView tabSelected="1" workbookViewId="0">
      <selection activeCell="C24" sqref="C24"/>
    </sheetView>
  </sheetViews>
  <sheetFormatPr defaultRowHeight="14.25" x14ac:dyDescent="0.15"/>
  <cols>
    <col min="3" max="3" width="33.875" bestFit="1" customWidth="1"/>
    <col min="8" max="8" width="21.625" bestFit="1" customWidth="1"/>
    <col min="13" max="13" width="33.875" bestFit="1" customWidth="1"/>
  </cols>
  <sheetData>
    <row r="1" spans="1:13" x14ac:dyDescent="0.15">
      <c r="A1" s="26">
        <v>1</v>
      </c>
      <c r="B1" s="26">
        <v>1200</v>
      </c>
      <c r="C1" t="s">
        <v>425</v>
      </c>
      <c r="F1" s="26">
        <v>1</v>
      </c>
      <c r="G1" s="26">
        <v>1100</v>
      </c>
      <c r="H1" s="9" t="s">
        <v>424</v>
      </c>
      <c r="K1" s="26">
        <v>1</v>
      </c>
      <c r="L1" s="26">
        <v>1000</v>
      </c>
      <c r="M1" t="s">
        <v>421</v>
      </c>
    </row>
    <row r="2" spans="1:13" x14ac:dyDescent="0.15">
      <c r="A2" s="26">
        <v>2</v>
      </c>
      <c r="B2" s="26">
        <v>1199</v>
      </c>
      <c r="C2" t="s">
        <v>420</v>
      </c>
      <c r="F2" s="26">
        <v>2</v>
      </c>
      <c r="G2" s="26">
        <v>1099</v>
      </c>
      <c r="H2" t="s">
        <v>420</v>
      </c>
      <c r="K2" s="26">
        <v>2</v>
      </c>
      <c r="L2" s="26">
        <v>999</v>
      </c>
      <c r="M2" t="s">
        <v>420</v>
      </c>
    </row>
    <row r="3" spans="1:13" x14ac:dyDescent="0.15">
      <c r="A3" s="26">
        <v>3</v>
      </c>
      <c r="B3" s="26">
        <v>1199</v>
      </c>
      <c r="C3" t="s">
        <v>426</v>
      </c>
      <c r="F3" s="26">
        <v>3</v>
      </c>
      <c r="G3" s="26">
        <v>1099</v>
      </c>
      <c r="H3" t="s">
        <v>423</v>
      </c>
      <c r="K3" s="26">
        <v>3</v>
      </c>
      <c r="L3" s="26">
        <v>999</v>
      </c>
      <c r="M3" t="s">
        <v>422</v>
      </c>
    </row>
    <row r="4" spans="1:13" x14ac:dyDescent="0.15">
      <c r="A4" s="26">
        <v>4</v>
      </c>
      <c r="B4" s="26">
        <v>1198</v>
      </c>
      <c r="F4" s="26">
        <v>4</v>
      </c>
      <c r="G4" s="26">
        <v>1099</v>
      </c>
      <c r="K4" s="26">
        <v>4</v>
      </c>
      <c r="L4" s="26">
        <v>999</v>
      </c>
    </row>
    <row r="5" spans="1:13" x14ac:dyDescent="0.15">
      <c r="A5" s="26">
        <v>5</v>
      </c>
      <c r="B5" s="26">
        <v>1196</v>
      </c>
      <c r="F5" s="26">
        <v>5</v>
      </c>
      <c r="G5" s="26">
        <v>1098</v>
      </c>
      <c r="K5" s="26">
        <v>5</v>
      </c>
      <c r="L5" s="26">
        <v>999</v>
      </c>
    </row>
    <row r="6" spans="1:13" x14ac:dyDescent="0.15">
      <c r="A6" s="26">
        <v>6</v>
      </c>
      <c r="B6" s="26">
        <v>1194</v>
      </c>
      <c r="F6" s="26">
        <v>6</v>
      </c>
      <c r="G6" s="26">
        <v>1097</v>
      </c>
      <c r="K6" s="26">
        <v>6</v>
      </c>
      <c r="L6" s="26">
        <v>998</v>
      </c>
    </row>
    <row r="7" spans="1:13" x14ac:dyDescent="0.15">
      <c r="A7" s="26">
        <v>7</v>
      </c>
      <c r="B7" s="26">
        <v>1191</v>
      </c>
      <c r="F7" s="26">
        <v>7</v>
      </c>
      <c r="G7" s="26">
        <v>1096</v>
      </c>
      <c r="K7" s="26">
        <v>7</v>
      </c>
      <c r="L7" s="26">
        <v>998</v>
      </c>
    </row>
    <row r="8" spans="1:13" x14ac:dyDescent="0.15">
      <c r="A8" s="26">
        <v>8</v>
      </c>
      <c r="B8" s="26">
        <v>1185</v>
      </c>
      <c r="F8" s="26">
        <v>8</v>
      </c>
      <c r="G8" s="26">
        <v>1094</v>
      </c>
      <c r="K8" s="26">
        <v>8</v>
      </c>
      <c r="L8" s="26">
        <v>997</v>
      </c>
    </row>
    <row r="9" spans="1:13" x14ac:dyDescent="0.15">
      <c r="A9" s="26">
        <v>9</v>
      </c>
      <c r="B9" s="26">
        <v>1176</v>
      </c>
      <c r="F9" s="26">
        <v>9</v>
      </c>
      <c r="G9" s="26">
        <v>1091</v>
      </c>
      <c r="K9" s="26">
        <v>9</v>
      </c>
      <c r="L9" s="26">
        <v>996</v>
      </c>
    </row>
    <row r="10" spans="1:13" x14ac:dyDescent="0.15">
      <c r="A10" s="26">
        <v>10</v>
      </c>
      <c r="B10" s="26">
        <v>1164</v>
      </c>
      <c r="F10" s="26">
        <v>10</v>
      </c>
      <c r="G10" s="26">
        <v>1086</v>
      </c>
      <c r="K10" s="26">
        <v>10</v>
      </c>
      <c r="L10" s="26">
        <v>995</v>
      </c>
    </row>
    <row r="11" spans="1:13" x14ac:dyDescent="0.15">
      <c r="A11" s="26">
        <v>11</v>
      </c>
      <c r="B11" s="26">
        <v>1146</v>
      </c>
      <c r="F11" s="26">
        <v>11</v>
      </c>
      <c r="G11" s="26">
        <v>1080</v>
      </c>
      <c r="K11" s="26">
        <v>11</v>
      </c>
      <c r="L11" s="26">
        <v>993</v>
      </c>
    </row>
    <row r="12" spans="1:13" x14ac:dyDescent="0.15">
      <c r="A12" s="26">
        <v>12</v>
      </c>
      <c r="B12" s="26">
        <v>1124</v>
      </c>
      <c r="F12" s="26">
        <v>12</v>
      </c>
      <c r="G12" s="26">
        <v>1071</v>
      </c>
      <c r="K12" s="26">
        <v>12</v>
      </c>
      <c r="L12" s="26">
        <v>990</v>
      </c>
    </row>
    <row r="13" spans="1:13" x14ac:dyDescent="0.15">
      <c r="A13" s="26">
        <v>13</v>
      </c>
      <c r="B13" s="26">
        <v>1100</v>
      </c>
      <c r="F13" s="26">
        <v>13</v>
      </c>
      <c r="G13" s="26">
        <v>1058</v>
      </c>
      <c r="K13" s="26">
        <v>13</v>
      </c>
      <c r="L13" s="26">
        <v>987</v>
      </c>
    </row>
    <row r="14" spans="1:13" x14ac:dyDescent="0.15">
      <c r="A14" s="26">
        <v>14</v>
      </c>
      <c r="B14" s="26">
        <v>1076</v>
      </c>
      <c r="F14" s="26">
        <v>14</v>
      </c>
      <c r="G14" s="26">
        <v>1041</v>
      </c>
      <c r="K14" s="26">
        <v>14</v>
      </c>
      <c r="L14" s="26">
        <v>982</v>
      </c>
    </row>
    <row r="15" spans="1:13" x14ac:dyDescent="0.15">
      <c r="A15" s="26">
        <v>15</v>
      </c>
      <c r="B15" s="26">
        <v>1054</v>
      </c>
      <c r="F15" s="26">
        <v>15</v>
      </c>
      <c r="G15" s="26">
        <v>1019</v>
      </c>
      <c r="K15" s="26">
        <v>15</v>
      </c>
      <c r="L15" s="26">
        <v>976</v>
      </c>
    </row>
    <row r="16" spans="1:13" x14ac:dyDescent="0.15">
      <c r="A16" s="26">
        <v>16</v>
      </c>
      <c r="B16" s="26">
        <v>1036</v>
      </c>
      <c r="F16" s="26">
        <v>16</v>
      </c>
      <c r="G16" s="26">
        <v>991</v>
      </c>
      <c r="K16" s="26">
        <v>16</v>
      </c>
      <c r="L16" s="26">
        <v>969</v>
      </c>
    </row>
    <row r="17" spans="1:12" x14ac:dyDescent="0.15">
      <c r="A17" s="26">
        <v>17</v>
      </c>
      <c r="B17" s="26">
        <v>1024</v>
      </c>
      <c r="F17" s="26">
        <v>17</v>
      </c>
      <c r="G17" s="26">
        <v>960</v>
      </c>
      <c r="K17" s="26">
        <v>17</v>
      </c>
      <c r="L17" s="26">
        <v>958</v>
      </c>
    </row>
    <row r="18" spans="1:12" x14ac:dyDescent="0.15">
      <c r="A18" s="26">
        <v>18</v>
      </c>
      <c r="B18" s="26">
        <v>1015</v>
      </c>
      <c r="F18" s="26">
        <v>18</v>
      </c>
      <c r="G18" s="26">
        <v>925</v>
      </c>
      <c r="K18" s="26">
        <v>18</v>
      </c>
      <c r="L18" s="26">
        <v>945</v>
      </c>
    </row>
    <row r="19" spans="1:12" x14ac:dyDescent="0.15">
      <c r="A19" s="26">
        <v>19</v>
      </c>
      <c r="B19" s="26">
        <v>1009</v>
      </c>
      <c r="F19" s="26">
        <v>19</v>
      </c>
      <c r="G19" s="26">
        <v>890</v>
      </c>
      <c r="K19" s="26">
        <v>19</v>
      </c>
      <c r="L19" s="26">
        <v>929</v>
      </c>
    </row>
    <row r="20" spans="1:12" x14ac:dyDescent="0.15">
      <c r="A20" s="26">
        <v>20</v>
      </c>
      <c r="B20" s="26">
        <v>1006</v>
      </c>
      <c r="F20" s="26">
        <v>20</v>
      </c>
      <c r="G20" s="26">
        <v>859</v>
      </c>
      <c r="K20" s="26">
        <v>20</v>
      </c>
      <c r="L20" s="26">
        <v>909</v>
      </c>
    </row>
    <row r="21" spans="1:12" x14ac:dyDescent="0.15">
      <c r="A21" s="26">
        <v>21</v>
      </c>
      <c r="B21" s="26">
        <v>1004</v>
      </c>
      <c r="F21" s="26">
        <v>21</v>
      </c>
      <c r="G21" s="26">
        <v>831</v>
      </c>
      <c r="K21" s="26">
        <v>21</v>
      </c>
      <c r="L21" s="26">
        <v>884</v>
      </c>
    </row>
    <row r="22" spans="1:12" x14ac:dyDescent="0.15">
      <c r="A22" s="26">
        <v>22</v>
      </c>
      <c r="B22" s="26">
        <v>1002</v>
      </c>
      <c r="F22" s="26">
        <v>22</v>
      </c>
      <c r="G22" s="26">
        <v>809</v>
      </c>
      <c r="K22" s="26">
        <v>22</v>
      </c>
      <c r="L22" s="26">
        <v>855</v>
      </c>
    </row>
    <row r="23" spans="1:12" x14ac:dyDescent="0.15">
      <c r="A23" s="26">
        <v>23</v>
      </c>
      <c r="B23" s="26">
        <v>1001</v>
      </c>
      <c r="F23" s="26">
        <v>23</v>
      </c>
      <c r="G23" s="26">
        <v>792</v>
      </c>
      <c r="K23" s="26">
        <v>23</v>
      </c>
      <c r="L23" s="26">
        <v>823</v>
      </c>
    </row>
    <row r="24" spans="1:12" x14ac:dyDescent="0.15">
      <c r="A24" s="26">
        <v>24</v>
      </c>
      <c r="B24" s="26">
        <v>1001</v>
      </c>
      <c r="F24" s="26">
        <v>24</v>
      </c>
      <c r="G24" s="26">
        <v>779</v>
      </c>
      <c r="K24" s="26">
        <v>24</v>
      </c>
      <c r="L24" s="26">
        <v>787</v>
      </c>
    </row>
    <row r="25" spans="1:12" x14ac:dyDescent="0.15">
      <c r="A25">
        <v>25</v>
      </c>
      <c r="B25">
        <v>1001</v>
      </c>
      <c r="F25" s="26">
        <v>25</v>
      </c>
      <c r="G25" s="26">
        <v>770</v>
      </c>
      <c r="K25" s="26">
        <v>25</v>
      </c>
      <c r="L25" s="26">
        <v>750</v>
      </c>
    </row>
    <row r="26" spans="1:12" x14ac:dyDescent="0.15">
      <c r="A26">
        <v>26</v>
      </c>
      <c r="B26">
        <v>1001</v>
      </c>
      <c r="F26" s="26">
        <v>26</v>
      </c>
      <c r="G26" s="26">
        <v>764</v>
      </c>
      <c r="K26" s="26">
        <v>26</v>
      </c>
      <c r="L26" s="26">
        <v>713</v>
      </c>
    </row>
    <row r="27" spans="1:12" x14ac:dyDescent="0.15">
      <c r="A27">
        <v>27</v>
      </c>
      <c r="B27">
        <v>1002</v>
      </c>
      <c r="F27" s="26">
        <v>27</v>
      </c>
      <c r="G27" s="26">
        <v>759</v>
      </c>
      <c r="K27" s="26">
        <v>27</v>
      </c>
      <c r="L27" s="26">
        <v>677</v>
      </c>
    </row>
    <row r="28" spans="1:12" x14ac:dyDescent="0.15">
      <c r="A28">
        <v>28</v>
      </c>
      <c r="B28">
        <v>1004</v>
      </c>
      <c r="F28" s="26">
        <v>28</v>
      </c>
      <c r="G28" s="26">
        <v>756</v>
      </c>
      <c r="K28" s="26">
        <v>28</v>
      </c>
      <c r="L28" s="26">
        <v>645</v>
      </c>
    </row>
    <row r="29" spans="1:12" x14ac:dyDescent="0.15">
      <c r="A29">
        <v>29</v>
      </c>
      <c r="B29">
        <v>1006</v>
      </c>
      <c r="F29" s="26">
        <v>29</v>
      </c>
      <c r="G29" s="26">
        <v>754</v>
      </c>
      <c r="K29" s="26">
        <v>29</v>
      </c>
      <c r="L29" s="26">
        <v>616</v>
      </c>
    </row>
    <row r="30" spans="1:12" x14ac:dyDescent="0.15">
      <c r="A30">
        <v>30</v>
      </c>
      <c r="B30">
        <v>1009</v>
      </c>
      <c r="F30" s="26">
        <v>30</v>
      </c>
      <c r="G30" s="26">
        <v>753</v>
      </c>
      <c r="K30" s="26">
        <v>30</v>
      </c>
      <c r="L30" s="26">
        <v>591</v>
      </c>
    </row>
    <row r="31" spans="1:12" x14ac:dyDescent="0.15">
      <c r="A31">
        <v>31</v>
      </c>
      <c r="B31">
        <v>1015</v>
      </c>
      <c r="F31" s="26">
        <v>31</v>
      </c>
      <c r="G31" s="26">
        <v>752</v>
      </c>
      <c r="K31" s="26">
        <v>31</v>
      </c>
      <c r="L31" s="26">
        <v>571</v>
      </c>
    </row>
    <row r="32" spans="1:12" x14ac:dyDescent="0.15">
      <c r="A32">
        <v>32</v>
      </c>
      <c r="B32">
        <v>1024</v>
      </c>
      <c r="F32" s="26">
        <v>32</v>
      </c>
      <c r="G32" s="26">
        <v>751</v>
      </c>
      <c r="K32" s="26">
        <v>32</v>
      </c>
      <c r="L32" s="26">
        <v>555</v>
      </c>
    </row>
    <row r="33" spans="1:12" x14ac:dyDescent="0.15">
      <c r="A33">
        <v>33</v>
      </c>
      <c r="B33">
        <v>1036</v>
      </c>
      <c r="F33" s="26">
        <v>33</v>
      </c>
      <c r="G33" s="26">
        <v>751</v>
      </c>
      <c r="K33" s="26">
        <v>33</v>
      </c>
      <c r="L33" s="26">
        <v>542</v>
      </c>
    </row>
    <row r="34" spans="1:12" x14ac:dyDescent="0.15">
      <c r="A34">
        <v>34</v>
      </c>
      <c r="B34">
        <v>1054</v>
      </c>
      <c r="F34" s="26">
        <v>34</v>
      </c>
      <c r="G34" s="26">
        <v>751</v>
      </c>
      <c r="K34" s="26">
        <v>34</v>
      </c>
      <c r="L34" s="26">
        <v>531</v>
      </c>
    </row>
    <row r="35" spans="1:12" x14ac:dyDescent="0.15">
      <c r="A35">
        <v>35</v>
      </c>
      <c r="B35">
        <v>1076</v>
      </c>
      <c r="F35">
        <v>35</v>
      </c>
      <c r="G35">
        <v>751</v>
      </c>
      <c r="K35" s="26">
        <v>35</v>
      </c>
      <c r="L35" s="26">
        <v>524</v>
      </c>
    </row>
    <row r="36" spans="1:12" x14ac:dyDescent="0.15">
      <c r="A36">
        <v>36</v>
      </c>
      <c r="B36">
        <v>1100</v>
      </c>
      <c r="F36">
        <v>36</v>
      </c>
      <c r="G36">
        <v>751</v>
      </c>
      <c r="K36" s="26">
        <v>36</v>
      </c>
      <c r="L36" s="26">
        <v>518</v>
      </c>
    </row>
    <row r="37" spans="1:12" x14ac:dyDescent="0.15">
      <c r="A37">
        <v>37</v>
      </c>
      <c r="B37">
        <v>1124</v>
      </c>
      <c r="F37">
        <v>37</v>
      </c>
      <c r="G37">
        <v>751</v>
      </c>
      <c r="K37" s="26">
        <v>37</v>
      </c>
      <c r="L37" s="26">
        <v>513</v>
      </c>
    </row>
    <row r="38" spans="1:12" x14ac:dyDescent="0.15">
      <c r="A38">
        <v>38</v>
      </c>
      <c r="B38">
        <v>1146</v>
      </c>
      <c r="F38">
        <v>38</v>
      </c>
      <c r="G38">
        <v>752</v>
      </c>
      <c r="K38" s="26">
        <v>38</v>
      </c>
      <c r="L38" s="26">
        <v>510</v>
      </c>
    </row>
    <row r="39" spans="1:12" x14ac:dyDescent="0.15">
      <c r="A39">
        <v>39</v>
      </c>
      <c r="B39">
        <v>1164</v>
      </c>
      <c r="F39">
        <v>39</v>
      </c>
      <c r="G39">
        <v>753</v>
      </c>
      <c r="K39" s="26">
        <v>39</v>
      </c>
      <c r="L39" s="26">
        <v>507</v>
      </c>
    </row>
    <row r="40" spans="1:12" x14ac:dyDescent="0.15">
      <c r="A40">
        <v>40</v>
      </c>
      <c r="B40">
        <v>1176</v>
      </c>
      <c r="F40">
        <v>40</v>
      </c>
      <c r="G40">
        <v>754</v>
      </c>
      <c r="K40" s="26">
        <v>40</v>
      </c>
      <c r="L40" s="26">
        <v>505</v>
      </c>
    </row>
    <row r="41" spans="1:12" x14ac:dyDescent="0.15">
      <c r="A41">
        <v>41</v>
      </c>
      <c r="B41">
        <v>1185</v>
      </c>
      <c r="F41">
        <v>41</v>
      </c>
      <c r="G41">
        <v>756</v>
      </c>
      <c r="K41" s="26">
        <v>41</v>
      </c>
      <c r="L41" s="26">
        <v>504</v>
      </c>
    </row>
    <row r="42" spans="1:12" x14ac:dyDescent="0.15">
      <c r="A42">
        <v>42</v>
      </c>
      <c r="B42">
        <v>1191</v>
      </c>
      <c r="F42">
        <v>42</v>
      </c>
      <c r="G42">
        <v>759</v>
      </c>
      <c r="K42" s="26">
        <v>42</v>
      </c>
      <c r="L42" s="26">
        <v>503</v>
      </c>
    </row>
    <row r="43" spans="1:12" x14ac:dyDescent="0.15">
      <c r="A43">
        <v>43</v>
      </c>
      <c r="B43">
        <v>1194</v>
      </c>
      <c r="F43">
        <v>43</v>
      </c>
      <c r="G43">
        <v>764</v>
      </c>
      <c r="K43" s="26">
        <v>43</v>
      </c>
      <c r="L43" s="26">
        <v>502</v>
      </c>
    </row>
    <row r="44" spans="1:12" x14ac:dyDescent="0.15">
      <c r="A44">
        <v>44</v>
      </c>
      <c r="B44">
        <v>1196</v>
      </c>
      <c r="F44">
        <v>44</v>
      </c>
      <c r="G44">
        <v>770</v>
      </c>
      <c r="K44" s="26">
        <v>44</v>
      </c>
      <c r="L44" s="26">
        <v>502</v>
      </c>
    </row>
    <row r="45" spans="1:12" x14ac:dyDescent="0.15">
      <c r="A45">
        <v>45</v>
      </c>
      <c r="B45">
        <v>1198</v>
      </c>
      <c r="F45">
        <v>45</v>
      </c>
      <c r="G45">
        <v>779</v>
      </c>
      <c r="K45" s="26">
        <v>45</v>
      </c>
      <c r="L45" s="26">
        <v>501</v>
      </c>
    </row>
    <row r="46" spans="1:12" x14ac:dyDescent="0.15">
      <c r="A46">
        <v>46</v>
      </c>
      <c r="B46">
        <v>1199</v>
      </c>
      <c r="F46">
        <v>46</v>
      </c>
      <c r="G46">
        <v>792</v>
      </c>
      <c r="K46" s="26">
        <v>46</v>
      </c>
      <c r="L46" s="26">
        <v>501</v>
      </c>
    </row>
    <row r="47" spans="1:12" x14ac:dyDescent="0.15">
      <c r="A47">
        <v>47</v>
      </c>
      <c r="B47">
        <v>1199</v>
      </c>
      <c r="F47">
        <v>47</v>
      </c>
      <c r="G47">
        <v>809</v>
      </c>
      <c r="K47" s="26">
        <v>47</v>
      </c>
      <c r="L47" s="26">
        <v>501</v>
      </c>
    </row>
    <row r="48" spans="1:12" x14ac:dyDescent="0.15">
      <c r="A48">
        <v>48</v>
      </c>
      <c r="B48">
        <v>1200</v>
      </c>
      <c r="F48">
        <v>48</v>
      </c>
      <c r="G48">
        <v>831</v>
      </c>
      <c r="K48" s="26">
        <v>48</v>
      </c>
      <c r="L48" s="26">
        <v>501</v>
      </c>
    </row>
    <row r="49" spans="6:12" x14ac:dyDescent="0.15">
      <c r="F49">
        <v>49</v>
      </c>
      <c r="G49">
        <v>859</v>
      </c>
      <c r="K49">
        <v>49</v>
      </c>
      <c r="L49">
        <v>501</v>
      </c>
    </row>
    <row r="50" spans="6:12" x14ac:dyDescent="0.15">
      <c r="F50">
        <v>50</v>
      </c>
      <c r="G50">
        <v>890</v>
      </c>
      <c r="K50">
        <v>50</v>
      </c>
      <c r="L50">
        <v>501</v>
      </c>
    </row>
    <row r="51" spans="6:12" x14ac:dyDescent="0.15">
      <c r="F51">
        <v>51</v>
      </c>
      <c r="G51">
        <v>925</v>
      </c>
      <c r="K51">
        <v>51</v>
      </c>
      <c r="L51">
        <v>501</v>
      </c>
    </row>
    <row r="52" spans="6:12" x14ac:dyDescent="0.15">
      <c r="F52">
        <v>52</v>
      </c>
      <c r="G52">
        <v>960</v>
      </c>
      <c r="K52">
        <v>52</v>
      </c>
      <c r="L52">
        <v>501</v>
      </c>
    </row>
    <row r="53" spans="6:12" x14ac:dyDescent="0.15">
      <c r="F53">
        <v>53</v>
      </c>
      <c r="G53">
        <v>991</v>
      </c>
      <c r="K53">
        <v>53</v>
      </c>
      <c r="L53">
        <v>502</v>
      </c>
    </row>
    <row r="54" spans="6:12" x14ac:dyDescent="0.15">
      <c r="F54">
        <v>54</v>
      </c>
      <c r="G54">
        <v>1019</v>
      </c>
      <c r="K54">
        <v>54</v>
      </c>
      <c r="L54">
        <v>502</v>
      </c>
    </row>
    <row r="55" spans="6:12" x14ac:dyDescent="0.15">
      <c r="F55">
        <v>55</v>
      </c>
      <c r="G55">
        <v>1041</v>
      </c>
      <c r="K55">
        <v>55</v>
      </c>
      <c r="L55">
        <v>503</v>
      </c>
    </row>
    <row r="56" spans="6:12" x14ac:dyDescent="0.15">
      <c r="F56">
        <v>56</v>
      </c>
      <c r="G56">
        <v>1058</v>
      </c>
      <c r="K56">
        <v>56</v>
      </c>
      <c r="L56">
        <v>504</v>
      </c>
    </row>
    <row r="57" spans="6:12" x14ac:dyDescent="0.15">
      <c r="F57">
        <v>57</v>
      </c>
      <c r="G57">
        <v>1071</v>
      </c>
      <c r="K57">
        <v>57</v>
      </c>
      <c r="L57">
        <v>505</v>
      </c>
    </row>
    <row r="58" spans="6:12" x14ac:dyDescent="0.15">
      <c r="F58">
        <v>58</v>
      </c>
      <c r="G58">
        <v>1080</v>
      </c>
      <c r="K58">
        <v>58</v>
      </c>
      <c r="L58">
        <v>507</v>
      </c>
    </row>
    <row r="59" spans="6:12" x14ac:dyDescent="0.15">
      <c r="F59">
        <v>59</v>
      </c>
      <c r="G59">
        <v>1086</v>
      </c>
      <c r="K59">
        <v>59</v>
      </c>
      <c r="L59">
        <v>510</v>
      </c>
    </row>
    <row r="60" spans="6:12" x14ac:dyDescent="0.15">
      <c r="F60">
        <v>60</v>
      </c>
      <c r="G60">
        <v>1091</v>
      </c>
      <c r="K60">
        <v>60</v>
      </c>
      <c r="L60">
        <v>513</v>
      </c>
    </row>
    <row r="61" spans="6:12" x14ac:dyDescent="0.15">
      <c r="F61">
        <v>61</v>
      </c>
      <c r="G61">
        <v>1094</v>
      </c>
      <c r="K61">
        <v>61</v>
      </c>
      <c r="L61">
        <v>518</v>
      </c>
    </row>
    <row r="62" spans="6:12" x14ac:dyDescent="0.15">
      <c r="F62">
        <v>62</v>
      </c>
      <c r="G62">
        <v>1096</v>
      </c>
      <c r="K62">
        <v>62</v>
      </c>
      <c r="L62">
        <v>524</v>
      </c>
    </row>
    <row r="63" spans="6:12" x14ac:dyDescent="0.15">
      <c r="F63">
        <v>63</v>
      </c>
      <c r="G63">
        <v>1097</v>
      </c>
      <c r="K63">
        <v>63</v>
      </c>
      <c r="L63">
        <v>531</v>
      </c>
    </row>
    <row r="64" spans="6:12" x14ac:dyDescent="0.15">
      <c r="F64">
        <v>64</v>
      </c>
      <c r="G64">
        <v>1098</v>
      </c>
      <c r="K64">
        <v>64</v>
      </c>
      <c r="L64">
        <v>542</v>
      </c>
    </row>
    <row r="65" spans="6:12" x14ac:dyDescent="0.15">
      <c r="F65">
        <v>65</v>
      </c>
      <c r="G65">
        <v>1099</v>
      </c>
      <c r="K65">
        <v>65</v>
      </c>
      <c r="L65">
        <v>555</v>
      </c>
    </row>
    <row r="66" spans="6:12" x14ac:dyDescent="0.15">
      <c r="F66">
        <v>66</v>
      </c>
      <c r="G66">
        <v>1099</v>
      </c>
      <c r="K66">
        <v>66</v>
      </c>
      <c r="L66">
        <v>571</v>
      </c>
    </row>
    <row r="67" spans="6:12" x14ac:dyDescent="0.15">
      <c r="F67">
        <v>67</v>
      </c>
      <c r="G67">
        <v>1099</v>
      </c>
      <c r="K67">
        <v>67</v>
      </c>
      <c r="L67">
        <v>591</v>
      </c>
    </row>
    <row r="68" spans="6:12" x14ac:dyDescent="0.15">
      <c r="F68">
        <v>68</v>
      </c>
      <c r="G68">
        <v>1100</v>
      </c>
      <c r="K68">
        <v>68</v>
      </c>
      <c r="L68">
        <v>616</v>
      </c>
    </row>
    <row r="69" spans="6:12" x14ac:dyDescent="0.15">
      <c r="K69">
        <v>69</v>
      </c>
      <c r="L69">
        <v>645</v>
      </c>
    </row>
    <row r="70" spans="6:12" x14ac:dyDescent="0.15">
      <c r="K70">
        <v>70</v>
      </c>
      <c r="L70">
        <v>677</v>
      </c>
    </row>
    <row r="71" spans="6:12" x14ac:dyDescent="0.15">
      <c r="K71">
        <v>71</v>
      </c>
      <c r="L71">
        <v>713</v>
      </c>
    </row>
    <row r="72" spans="6:12" x14ac:dyDescent="0.15">
      <c r="K72">
        <v>72</v>
      </c>
      <c r="L72">
        <v>750</v>
      </c>
    </row>
    <row r="73" spans="6:12" x14ac:dyDescent="0.15">
      <c r="K73">
        <v>73</v>
      </c>
      <c r="L73">
        <v>787</v>
      </c>
    </row>
    <row r="74" spans="6:12" x14ac:dyDescent="0.15">
      <c r="K74">
        <v>74</v>
      </c>
      <c r="L74">
        <v>823</v>
      </c>
    </row>
    <row r="75" spans="6:12" x14ac:dyDescent="0.15">
      <c r="K75">
        <v>75</v>
      </c>
      <c r="L75">
        <v>855</v>
      </c>
    </row>
    <row r="76" spans="6:12" x14ac:dyDescent="0.15">
      <c r="K76">
        <v>76</v>
      </c>
      <c r="L76">
        <v>884</v>
      </c>
    </row>
    <row r="77" spans="6:12" x14ac:dyDescent="0.15">
      <c r="K77">
        <v>77</v>
      </c>
      <c r="L77">
        <v>909</v>
      </c>
    </row>
    <row r="78" spans="6:12" x14ac:dyDescent="0.15">
      <c r="K78">
        <v>78</v>
      </c>
      <c r="L78">
        <v>929</v>
      </c>
    </row>
    <row r="79" spans="6:12" x14ac:dyDescent="0.15">
      <c r="K79">
        <v>79</v>
      </c>
      <c r="L79">
        <v>945</v>
      </c>
    </row>
    <row r="80" spans="6:12" x14ac:dyDescent="0.15">
      <c r="K80">
        <v>80</v>
      </c>
      <c r="L80">
        <v>958</v>
      </c>
    </row>
    <row r="81" spans="11:12" x14ac:dyDescent="0.15">
      <c r="K81">
        <v>81</v>
      </c>
      <c r="L81">
        <v>969</v>
      </c>
    </row>
    <row r="82" spans="11:12" x14ac:dyDescent="0.15">
      <c r="K82">
        <v>82</v>
      </c>
      <c r="L82">
        <v>976</v>
      </c>
    </row>
    <row r="83" spans="11:12" x14ac:dyDescent="0.15">
      <c r="K83">
        <v>83</v>
      </c>
      <c r="L83">
        <v>982</v>
      </c>
    </row>
    <row r="84" spans="11:12" x14ac:dyDescent="0.15">
      <c r="K84">
        <v>84</v>
      </c>
      <c r="L84">
        <v>987</v>
      </c>
    </row>
    <row r="85" spans="11:12" x14ac:dyDescent="0.15">
      <c r="K85">
        <v>85</v>
      </c>
      <c r="L85">
        <v>990</v>
      </c>
    </row>
    <row r="86" spans="11:12" x14ac:dyDescent="0.15">
      <c r="K86">
        <v>86</v>
      </c>
      <c r="L86">
        <v>993</v>
      </c>
    </row>
    <row r="87" spans="11:12" x14ac:dyDescent="0.15">
      <c r="K87">
        <v>87</v>
      </c>
      <c r="L87">
        <v>995</v>
      </c>
    </row>
    <row r="88" spans="11:12" x14ac:dyDescent="0.15">
      <c r="K88">
        <v>88</v>
      </c>
      <c r="L88">
        <v>996</v>
      </c>
    </row>
    <row r="89" spans="11:12" x14ac:dyDescent="0.15">
      <c r="K89">
        <v>89</v>
      </c>
      <c r="L89">
        <v>997</v>
      </c>
    </row>
    <row r="90" spans="11:12" x14ac:dyDescent="0.15">
      <c r="K90">
        <v>90</v>
      </c>
      <c r="L90">
        <v>998</v>
      </c>
    </row>
    <row r="91" spans="11:12" x14ac:dyDescent="0.15">
      <c r="K91">
        <v>91</v>
      </c>
      <c r="L91">
        <v>998</v>
      </c>
    </row>
    <row r="92" spans="11:12" x14ac:dyDescent="0.15">
      <c r="K92">
        <v>92</v>
      </c>
      <c r="L92">
        <v>999</v>
      </c>
    </row>
    <row r="93" spans="11:12" x14ac:dyDescent="0.15">
      <c r="K93">
        <v>93</v>
      </c>
      <c r="L93">
        <v>999</v>
      </c>
    </row>
    <row r="94" spans="11:12" x14ac:dyDescent="0.15">
      <c r="K94">
        <v>94</v>
      </c>
      <c r="L94">
        <v>999</v>
      </c>
    </row>
    <row r="95" spans="11:12" x14ac:dyDescent="0.15">
      <c r="K95">
        <v>95</v>
      </c>
      <c r="L95">
        <v>999</v>
      </c>
    </row>
    <row r="96" spans="11:12" x14ac:dyDescent="0.15">
      <c r="K96">
        <v>96</v>
      </c>
      <c r="L96">
        <v>1000</v>
      </c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4"/>
  <sheetViews>
    <sheetView workbookViewId="0">
      <selection activeCell="C1" sqref="C1"/>
    </sheetView>
  </sheetViews>
  <sheetFormatPr defaultRowHeight="14.25" x14ac:dyDescent="0.15"/>
  <cols>
    <col min="3" max="3" width="33.875" bestFit="1" customWidth="1"/>
    <col min="8" max="8" width="33.875" bestFit="1" customWidth="1"/>
  </cols>
  <sheetData>
    <row r="1" spans="1:13" x14ac:dyDescent="0.15">
      <c r="A1" s="26">
        <v>1</v>
      </c>
      <c r="B1">
        <v>1600</v>
      </c>
      <c r="C1" s="9" t="s">
        <v>397</v>
      </c>
      <c r="F1" s="26">
        <v>1</v>
      </c>
      <c r="G1" s="26">
        <v>1600</v>
      </c>
      <c r="H1" s="9" t="s">
        <v>396</v>
      </c>
      <c r="K1">
        <v>1</v>
      </c>
      <c r="L1">
        <v>1600</v>
      </c>
      <c r="M1" t="s">
        <v>398</v>
      </c>
    </row>
    <row r="2" spans="1:13" x14ac:dyDescent="0.15">
      <c r="A2" s="26">
        <v>2</v>
      </c>
      <c r="B2">
        <v>1599</v>
      </c>
      <c r="C2" s="9" t="s">
        <v>402</v>
      </c>
      <c r="F2" s="26">
        <v>2</v>
      </c>
      <c r="G2" s="26">
        <v>1599</v>
      </c>
      <c r="H2" s="9" t="s">
        <v>402</v>
      </c>
      <c r="K2">
        <v>2</v>
      </c>
      <c r="L2">
        <v>1599</v>
      </c>
      <c r="M2" s="9" t="s">
        <v>403</v>
      </c>
    </row>
    <row r="3" spans="1:13" x14ac:dyDescent="0.15">
      <c r="A3" s="26">
        <v>3</v>
      </c>
      <c r="B3">
        <v>1599</v>
      </c>
      <c r="C3" t="s">
        <v>395</v>
      </c>
      <c r="F3" s="26">
        <v>3</v>
      </c>
      <c r="G3" s="26">
        <v>1599</v>
      </c>
      <c r="H3" s="9" t="s">
        <v>401</v>
      </c>
      <c r="K3">
        <v>3</v>
      </c>
      <c r="L3">
        <v>1599</v>
      </c>
      <c r="M3" t="s">
        <v>400</v>
      </c>
    </row>
    <row r="4" spans="1:13" x14ac:dyDescent="0.15">
      <c r="A4" s="26">
        <v>4</v>
      </c>
      <c r="B4">
        <v>1598</v>
      </c>
      <c r="F4" s="26">
        <v>4</v>
      </c>
      <c r="G4" s="26">
        <v>1599</v>
      </c>
      <c r="K4">
        <v>4</v>
      </c>
      <c r="L4">
        <v>1598</v>
      </c>
    </row>
    <row r="5" spans="1:13" x14ac:dyDescent="0.15">
      <c r="A5" s="26">
        <v>5</v>
      </c>
      <c r="B5">
        <v>1597</v>
      </c>
      <c r="F5" s="26">
        <v>5</v>
      </c>
      <c r="G5" s="26">
        <v>1598</v>
      </c>
      <c r="K5">
        <v>5</v>
      </c>
      <c r="L5">
        <v>1597</v>
      </c>
    </row>
    <row r="6" spans="1:13" x14ac:dyDescent="0.15">
      <c r="A6" s="26">
        <v>6</v>
      </c>
      <c r="B6">
        <v>1595</v>
      </c>
      <c r="F6" s="26">
        <v>6</v>
      </c>
      <c r="G6" s="26">
        <v>1596</v>
      </c>
      <c r="K6">
        <v>6</v>
      </c>
      <c r="L6">
        <v>1596</v>
      </c>
    </row>
    <row r="7" spans="1:13" x14ac:dyDescent="0.15">
      <c r="A7" s="26">
        <v>7</v>
      </c>
      <c r="B7">
        <v>1592</v>
      </c>
      <c r="F7" s="26">
        <v>7</v>
      </c>
      <c r="G7" s="26">
        <v>1593</v>
      </c>
      <c r="K7">
        <v>7</v>
      </c>
      <c r="L7">
        <v>1593</v>
      </c>
    </row>
    <row r="8" spans="1:13" x14ac:dyDescent="0.15">
      <c r="A8" s="26">
        <v>8</v>
      </c>
      <c r="B8">
        <v>1588</v>
      </c>
      <c r="F8" s="26">
        <v>8</v>
      </c>
      <c r="G8" s="26">
        <v>1589</v>
      </c>
      <c r="K8">
        <v>8</v>
      </c>
      <c r="L8">
        <v>1588</v>
      </c>
    </row>
    <row r="9" spans="1:13" x14ac:dyDescent="0.15">
      <c r="A9" s="26">
        <v>9</v>
      </c>
      <c r="B9">
        <v>1582</v>
      </c>
      <c r="F9" s="26">
        <v>9</v>
      </c>
      <c r="G9" s="26">
        <v>1582</v>
      </c>
      <c r="K9">
        <v>9</v>
      </c>
      <c r="L9">
        <v>1580</v>
      </c>
    </row>
    <row r="10" spans="1:13" x14ac:dyDescent="0.15">
      <c r="A10" s="26">
        <v>10</v>
      </c>
      <c r="B10">
        <v>1573</v>
      </c>
      <c r="F10" s="26">
        <v>10</v>
      </c>
      <c r="G10" s="26">
        <v>1572</v>
      </c>
      <c r="K10">
        <v>10</v>
      </c>
      <c r="L10">
        <v>1568</v>
      </c>
    </row>
    <row r="11" spans="1:13" x14ac:dyDescent="0.15">
      <c r="A11" s="26">
        <v>11</v>
      </c>
      <c r="B11">
        <v>1562</v>
      </c>
      <c r="F11" s="26">
        <v>11</v>
      </c>
      <c r="G11" s="26">
        <v>1554</v>
      </c>
      <c r="K11">
        <v>11</v>
      </c>
      <c r="L11">
        <v>1548</v>
      </c>
    </row>
    <row r="12" spans="1:13" x14ac:dyDescent="0.15">
      <c r="A12" s="26">
        <v>12</v>
      </c>
      <c r="B12">
        <v>1550</v>
      </c>
      <c r="F12" s="26">
        <v>12</v>
      </c>
      <c r="G12" s="26">
        <v>1528</v>
      </c>
      <c r="K12">
        <v>12</v>
      </c>
      <c r="L12">
        <v>1517</v>
      </c>
    </row>
    <row r="13" spans="1:13" x14ac:dyDescent="0.15">
      <c r="A13" s="26">
        <v>13</v>
      </c>
      <c r="B13">
        <v>1538</v>
      </c>
      <c r="F13" s="26">
        <v>13</v>
      </c>
      <c r="G13" s="26">
        <v>1491</v>
      </c>
      <c r="K13">
        <v>13</v>
      </c>
      <c r="L13">
        <v>1469</v>
      </c>
    </row>
    <row r="14" spans="1:13" x14ac:dyDescent="0.15">
      <c r="A14" s="26">
        <v>14</v>
      </c>
      <c r="B14">
        <v>1527</v>
      </c>
      <c r="F14" s="26">
        <v>14</v>
      </c>
      <c r="G14" s="26">
        <v>1439</v>
      </c>
      <c r="K14">
        <v>14</v>
      </c>
      <c r="L14">
        <v>1399</v>
      </c>
    </row>
    <row r="15" spans="1:13" x14ac:dyDescent="0.15">
      <c r="A15" s="26">
        <v>15</v>
      </c>
      <c r="B15">
        <v>1518</v>
      </c>
      <c r="F15" s="26">
        <v>15</v>
      </c>
      <c r="G15" s="26">
        <v>1373</v>
      </c>
      <c r="K15">
        <v>15</v>
      </c>
      <c r="L15">
        <v>1304</v>
      </c>
    </row>
    <row r="16" spans="1:13" x14ac:dyDescent="0.15">
      <c r="A16" s="26">
        <v>16</v>
      </c>
      <c r="B16">
        <v>1512</v>
      </c>
      <c r="F16" s="26">
        <v>16</v>
      </c>
      <c r="G16" s="26">
        <v>1300</v>
      </c>
      <c r="K16">
        <v>16</v>
      </c>
      <c r="L16">
        <v>1185</v>
      </c>
    </row>
    <row r="17" spans="1:12" x14ac:dyDescent="0.15">
      <c r="A17" s="26">
        <v>17</v>
      </c>
      <c r="B17">
        <v>1508</v>
      </c>
      <c r="F17" s="26">
        <v>17</v>
      </c>
      <c r="G17" s="26">
        <v>1227</v>
      </c>
      <c r="K17">
        <v>17</v>
      </c>
      <c r="L17">
        <v>1050</v>
      </c>
    </row>
    <row r="18" spans="1:12" x14ac:dyDescent="0.15">
      <c r="A18" s="26">
        <v>18</v>
      </c>
      <c r="B18">
        <v>1505</v>
      </c>
      <c r="F18" s="26">
        <v>18</v>
      </c>
      <c r="G18" s="26">
        <v>1161</v>
      </c>
      <c r="K18">
        <v>18</v>
      </c>
      <c r="L18">
        <v>915</v>
      </c>
    </row>
    <row r="19" spans="1:12" x14ac:dyDescent="0.15">
      <c r="A19" s="26">
        <v>19</v>
      </c>
      <c r="B19">
        <v>1503</v>
      </c>
      <c r="F19" s="26">
        <v>19</v>
      </c>
      <c r="G19" s="26">
        <v>1109</v>
      </c>
      <c r="K19">
        <v>19</v>
      </c>
      <c r="L19">
        <v>796</v>
      </c>
    </row>
    <row r="20" spans="1:12" x14ac:dyDescent="0.15">
      <c r="A20" s="26">
        <v>20</v>
      </c>
      <c r="B20">
        <v>1502</v>
      </c>
      <c r="F20" s="26">
        <v>20</v>
      </c>
      <c r="G20" s="26">
        <v>1072</v>
      </c>
      <c r="K20">
        <v>20</v>
      </c>
      <c r="L20">
        <v>701</v>
      </c>
    </row>
    <row r="21" spans="1:12" x14ac:dyDescent="0.15">
      <c r="A21" s="26">
        <v>21</v>
      </c>
      <c r="B21">
        <v>1501</v>
      </c>
      <c r="F21" s="26">
        <v>21</v>
      </c>
      <c r="G21" s="26">
        <v>1046</v>
      </c>
      <c r="K21">
        <v>21</v>
      </c>
      <c r="L21">
        <v>631</v>
      </c>
    </row>
    <row r="22" spans="1:12" x14ac:dyDescent="0.15">
      <c r="A22" s="26">
        <v>22</v>
      </c>
      <c r="B22">
        <v>1501</v>
      </c>
      <c r="F22" s="26">
        <v>22</v>
      </c>
      <c r="G22" s="26">
        <v>1028</v>
      </c>
      <c r="K22">
        <v>22</v>
      </c>
      <c r="L22">
        <v>583</v>
      </c>
    </row>
    <row r="23" spans="1:12" x14ac:dyDescent="0.15">
      <c r="A23" s="27">
        <v>23</v>
      </c>
      <c r="B23">
        <v>1501</v>
      </c>
      <c r="F23" s="26">
        <v>23</v>
      </c>
      <c r="G23" s="26">
        <v>1018</v>
      </c>
      <c r="K23">
        <v>23</v>
      </c>
      <c r="L23">
        <v>552</v>
      </c>
    </row>
    <row r="24" spans="1:12" x14ac:dyDescent="0.15">
      <c r="A24" s="27">
        <v>24</v>
      </c>
      <c r="B24">
        <v>1501</v>
      </c>
      <c r="F24" s="26">
        <v>24</v>
      </c>
      <c r="G24" s="26">
        <v>1011</v>
      </c>
      <c r="K24">
        <v>24</v>
      </c>
      <c r="L24">
        <v>532</v>
      </c>
    </row>
    <row r="25" spans="1:12" x14ac:dyDescent="0.15">
      <c r="A25" s="27">
        <v>25</v>
      </c>
      <c r="B25">
        <v>1502</v>
      </c>
      <c r="F25" s="26">
        <v>25</v>
      </c>
      <c r="G25" s="26">
        <v>1007</v>
      </c>
      <c r="K25">
        <v>25</v>
      </c>
      <c r="L25">
        <v>520</v>
      </c>
    </row>
    <row r="26" spans="1:12" x14ac:dyDescent="0.15">
      <c r="A26" s="27">
        <v>26</v>
      </c>
      <c r="B26">
        <v>1503</v>
      </c>
      <c r="F26" s="26">
        <v>26</v>
      </c>
      <c r="G26" s="26">
        <v>1004</v>
      </c>
      <c r="K26">
        <v>26</v>
      </c>
      <c r="L26">
        <v>512</v>
      </c>
    </row>
    <row r="27" spans="1:12" x14ac:dyDescent="0.15">
      <c r="A27" s="27">
        <v>27</v>
      </c>
      <c r="B27">
        <v>1505</v>
      </c>
      <c r="F27" s="26">
        <v>27</v>
      </c>
      <c r="G27" s="26">
        <v>1002</v>
      </c>
      <c r="K27">
        <v>27</v>
      </c>
      <c r="L27">
        <v>507</v>
      </c>
    </row>
    <row r="28" spans="1:12" x14ac:dyDescent="0.15">
      <c r="A28" s="27">
        <v>28</v>
      </c>
      <c r="B28">
        <v>1508</v>
      </c>
      <c r="F28" s="26">
        <v>28</v>
      </c>
      <c r="G28" s="26">
        <v>1001</v>
      </c>
      <c r="K28">
        <v>28</v>
      </c>
      <c r="L28">
        <v>504</v>
      </c>
    </row>
    <row r="29" spans="1:12" x14ac:dyDescent="0.15">
      <c r="A29" s="27">
        <v>29</v>
      </c>
      <c r="B29">
        <v>1512</v>
      </c>
      <c r="F29" s="26">
        <v>29</v>
      </c>
      <c r="G29" s="26">
        <v>1001</v>
      </c>
      <c r="K29">
        <v>29</v>
      </c>
      <c r="L29">
        <v>503</v>
      </c>
    </row>
    <row r="30" spans="1:12" x14ac:dyDescent="0.15">
      <c r="A30" s="27">
        <v>30</v>
      </c>
      <c r="B30">
        <v>1518</v>
      </c>
      <c r="F30" s="26">
        <v>30</v>
      </c>
      <c r="G30" s="26">
        <v>1001</v>
      </c>
      <c r="K30">
        <v>30</v>
      </c>
      <c r="L30">
        <v>502</v>
      </c>
    </row>
    <row r="31" spans="1:12" x14ac:dyDescent="0.15">
      <c r="A31" s="27">
        <v>31</v>
      </c>
      <c r="B31">
        <v>1527</v>
      </c>
      <c r="F31" s="27">
        <v>31</v>
      </c>
      <c r="G31">
        <v>1001</v>
      </c>
      <c r="K31">
        <v>31</v>
      </c>
      <c r="L31">
        <v>501</v>
      </c>
    </row>
    <row r="32" spans="1:12" x14ac:dyDescent="0.15">
      <c r="A32">
        <v>32</v>
      </c>
      <c r="B32">
        <v>1538</v>
      </c>
      <c r="F32" s="27">
        <v>32</v>
      </c>
      <c r="G32">
        <v>1001</v>
      </c>
      <c r="K32">
        <v>32</v>
      </c>
      <c r="L32">
        <v>501</v>
      </c>
    </row>
    <row r="33" spans="1:12" x14ac:dyDescent="0.15">
      <c r="A33">
        <v>33</v>
      </c>
      <c r="B33">
        <v>1550</v>
      </c>
      <c r="F33" s="27">
        <v>33</v>
      </c>
      <c r="G33">
        <v>1001</v>
      </c>
      <c r="K33">
        <v>33</v>
      </c>
      <c r="L33">
        <v>501</v>
      </c>
    </row>
    <row r="34" spans="1:12" x14ac:dyDescent="0.15">
      <c r="A34">
        <v>34</v>
      </c>
      <c r="B34">
        <v>1562</v>
      </c>
      <c r="F34" s="27">
        <v>34</v>
      </c>
      <c r="G34">
        <v>1002</v>
      </c>
      <c r="K34">
        <v>34</v>
      </c>
      <c r="L34">
        <v>501</v>
      </c>
    </row>
    <row r="35" spans="1:12" x14ac:dyDescent="0.15">
      <c r="A35">
        <v>35</v>
      </c>
      <c r="B35">
        <v>1573</v>
      </c>
      <c r="F35" s="27">
        <v>35</v>
      </c>
      <c r="G35">
        <v>1004</v>
      </c>
      <c r="K35">
        <v>35</v>
      </c>
      <c r="L35">
        <v>502</v>
      </c>
    </row>
    <row r="36" spans="1:12" x14ac:dyDescent="0.15">
      <c r="A36">
        <v>36</v>
      </c>
      <c r="B36">
        <v>1582</v>
      </c>
      <c r="F36" s="27">
        <v>36</v>
      </c>
      <c r="G36">
        <v>1007</v>
      </c>
      <c r="K36">
        <v>36</v>
      </c>
      <c r="L36">
        <v>503</v>
      </c>
    </row>
    <row r="37" spans="1:12" x14ac:dyDescent="0.15">
      <c r="A37">
        <v>37</v>
      </c>
      <c r="B37">
        <v>1588</v>
      </c>
      <c r="F37" s="27">
        <v>37</v>
      </c>
      <c r="G37">
        <v>1011</v>
      </c>
      <c r="K37">
        <v>37</v>
      </c>
      <c r="L37">
        <v>504</v>
      </c>
    </row>
    <row r="38" spans="1:12" x14ac:dyDescent="0.15">
      <c r="A38">
        <v>38</v>
      </c>
      <c r="B38">
        <v>1592</v>
      </c>
      <c r="F38" s="27">
        <v>38</v>
      </c>
      <c r="G38">
        <v>1018</v>
      </c>
      <c r="K38">
        <v>38</v>
      </c>
      <c r="L38">
        <v>507</v>
      </c>
    </row>
    <row r="39" spans="1:12" x14ac:dyDescent="0.15">
      <c r="A39">
        <v>39</v>
      </c>
      <c r="B39">
        <v>1595</v>
      </c>
      <c r="F39" s="27">
        <v>39</v>
      </c>
      <c r="G39">
        <v>1028</v>
      </c>
      <c r="K39">
        <v>39</v>
      </c>
      <c r="L39">
        <v>512</v>
      </c>
    </row>
    <row r="40" spans="1:12" x14ac:dyDescent="0.15">
      <c r="A40">
        <v>40</v>
      </c>
      <c r="B40">
        <v>1597</v>
      </c>
      <c r="F40" s="27">
        <v>40</v>
      </c>
      <c r="G40">
        <v>1046</v>
      </c>
      <c r="K40">
        <v>40</v>
      </c>
      <c r="L40">
        <v>520</v>
      </c>
    </row>
    <row r="41" spans="1:12" x14ac:dyDescent="0.15">
      <c r="A41">
        <v>41</v>
      </c>
      <c r="B41">
        <v>1598</v>
      </c>
      <c r="F41" s="27">
        <v>41</v>
      </c>
      <c r="G41">
        <v>1072</v>
      </c>
      <c r="K41">
        <v>41</v>
      </c>
      <c r="L41">
        <v>532</v>
      </c>
    </row>
    <row r="42" spans="1:12" x14ac:dyDescent="0.15">
      <c r="A42">
        <v>42</v>
      </c>
      <c r="B42">
        <v>1599</v>
      </c>
      <c r="F42" s="27">
        <v>42</v>
      </c>
      <c r="G42">
        <v>1109</v>
      </c>
      <c r="K42">
        <v>42</v>
      </c>
      <c r="L42">
        <v>552</v>
      </c>
    </row>
    <row r="43" spans="1:12" x14ac:dyDescent="0.15">
      <c r="A43">
        <v>43</v>
      </c>
      <c r="B43">
        <v>1599</v>
      </c>
      <c r="F43" s="27">
        <v>43</v>
      </c>
      <c r="G43">
        <v>1161</v>
      </c>
      <c r="K43">
        <v>43</v>
      </c>
      <c r="L43">
        <v>583</v>
      </c>
    </row>
    <row r="44" spans="1:12" x14ac:dyDescent="0.15">
      <c r="A44">
        <v>44</v>
      </c>
      <c r="B44">
        <v>1600</v>
      </c>
      <c r="F44" s="27">
        <v>44</v>
      </c>
      <c r="G44">
        <v>1227</v>
      </c>
      <c r="K44">
        <v>44</v>
      </c>
      <c r="L44">
        <v>631</v>
      </c>
    </row>
    <row r="45" spans="1:12" x14ac:dyDescent="0.15">
      <c r="F45" s="27">
        <v>45</v>
      </c>
      <c r="G45">
        <v>1300</v>
      </c>
      <c r="K45">
        <v>45</v>
      </c>
      <c r="L45">
        <v>701</v>
      </c>
    </row>
    <row r="46" spans="1:12" x14ac:dyDescent="0.15">
      <c r="F46" s="27">
        <v>46</v>
      </c>
      <c r="G46">
        <v>1373</v>
      </c>
      <c r="K46">
        <v>46</v>
      </c>
      <c r="L46">
        <v>796</v>
      </c>
    </row>
    <row r="47" spans="1:12" x14ac:dyDescent="0.15">
      <c r="F47" s="27">
        <v>47</v>
      </c>
      <c r="G47">
        <v>1439</v>
      </c>
      <c r="K47">
        <v>47</v>
      </c>
      <c r="L47">
        <v>915</v>
      </c>
    </row>
    <row r="48" spans="1:12" x14ac:dyDescent="0.15">
      <c r="F48" s="27">
        <v>48</v>
      </c>
      <c r="G48">
        <v>1491</v>
      </c>
      <c r="K48">
        <v>48</v>
      </c>
      <c r="L48">
        <v>1050</v>
      </c>
    </row>
    <row r="49" spans="6:12" x14ac:dyDescent="0.15">
      <c r="F49" s="27">
        <v>49</v>
      </c>
      <c r="G49">
        <v>1528</v>
      </c>
      <c r="K49">
        <v>49</v>
      </c>
      <c r="L49">
        <v>1185</v>
      </c>
    </row>
    <row r="50" spans="6:12" x14ac:dyDescent="0.15">
      <c r="F50" s="27">
        <v>50</v>
      </c>
      <c r="G50">
        <v>1554</v>
      </c>
      <c r="K50">
        <v>50</v>
      </c>
      <c r="L50">
        <v>1304</v>
      </c>
    </row>
    <row r="51" spans="6:12" x14ac:dyDescent="0.15">
      <c r="F51" s="27">
        <v>51</v>
      </c>
      <c r="G51">
        <v>1572</v>
      </c>
      <c r="K51">
        <v>51</v>
      </c>
      <c r="L51">
        <v>1399</v>
      </c>
    </row>
    <row r="52" spans="6:12" x14ac:dyDescent="0.15">
      <c r="F52" s="27">
        <v>52</v>
      </c>
      <c r="G52">
        <v>1582</v>
      </c>
      <c r="K52">
        <v>52</v>
      </c>
      <c r="L52">
        <v>1469</v>
      </c>
    </row>
    <row r="53" spans="6:12" x14ac:dyDescent="0.15">
      <c r="F53" s="27">
        <v>53</v>
      </c>
      <c r="G53">
        <v>1589</v>
      </c>
      <c r="K53">
        <v>53</v>
      </c>
      <c r="L53">
        <v>1517</v>
      </c>
    </row>
    <row r="54" spans="6:12" x14ac:dyDescent="0.15">
      <c r="F54" s="27">
        <v>54</v>
      </c>
      <c r="G54">
        <v>1593</v>
      </c>
      <c r="K54">
        <v>54</v>
      </c>
      <c r="L54">
        <v>1548</v>
      </c>
    </row>
    <row r="55" spans="6:12" x14ac:dyDescent="0.15">
      <c r="F55" s="27">
        <v>55</v>
      </c>
      <c r="G55">
        <v>1596</v>
      </c>
      <c r="K55">
        <v>55</v>
      </c>
      <c r="L55">
        <v>1568</v>
      </c>
    </row>
    <row r="56" spans="6:12" x14ac:dyDescent="0.15">
      <c r="F56" s="27">
        <v>56</v>
      </c>
      <c r="G56">
        <v>1598</v>
      </c>
      <c r="K56">
        <v>56</v>
      </c>
      <c r="L56">
        <v>1580</v>
      </c>
    </row>
    <row r="57" spans="6:12" x14ac:dyDescent="0.15">
      <c r="F57" s="27">
        <v>57</v>
      </c>
      <c r="G57">
        <v>1599</v>
      </c>
      <c r="K57">
        <v>57</v>
      </c>
      <c r="L57">
        <v>1588</v>
      </c>
    </row>
    <row r="58" spans="6:12" x14ac:dyDescent="0.15">
      <c r="F58" s="27">
        <v>58</v>
      </c>
      <c r="G58">
        <v>1599</v>
      </c>
      <c r="K58">
        <v>58</v>
      </c>
      <c r="L58">
        <v>1593</v>
      </c>
    </row>
    <row r="59" spans="6:12" x14ac:dyDescent="0.15">
      <c r="F59" s="27">
        <v>59</v>
      </c>
      <c r="G59">
        <v>1599</v>
      </c>
      <c r="K59">
        <v>59</v>
      </c>
      <c r="L59">
        <v>1596</v>
      </c>
    </row>
    <row r="60" spans="6:12" x14ac:dyDescent="0.15">
      <c r="F60" s="27">
        <v>60</v>
      </c>
      <c r="G60">
        <v>1600</v>
      </c>
      <c r="K60">
        <v>60</v>
      </c>
      <c r="L60">
        <v>1597</v>
      </c>
    </row>
    <row r="61" spans="6:12" x14ac:dyDescent="0.15">
      <c r="K61">
        <v>61</v>
      </c>
      <c r="L61">
        <v>1598</v>
      </c>
    </row>
    <row r="62" spans="6:12" x14ac:dyDescent="0.15">
      <c r="K62">
        <v>62</v>
      </c>
      <c r="L62">
        <v>1599</v>
      </c>
    </row>
    <row r="63" spans="6:12" x14ac:dyDescent="0.15">
      <c r="K63">
        <v>63</v>
      </c>
      <c r="L63">
        <v>1599</v>
      </c>
    </row>
    <row r="64" spans="6:12" x14ac:dyDescent="0.15">
      <c r="K64">
        <v>64</v>
      </c>
      <c r="L64">
        <v>1600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4"/>
  <sheetViews>
    <sheetView workbookViewId="0">
      <selection activeCell="C31" sqref="C31"/>
    </sheetView>
  </sheetViews>
  <sheetFormatPr defaultRowHeight="14.25" x14ac:dyDescent="0.15"/>
  <cols>
    <col min="3" max="3" width="33.875" bestFit="1" customWidth="1"/>
    <col min="8" max="8" width="33.875" bestFit="1" customWidth="1"/>
  </cols>
  <sheetData>
    <row r="1" spans="1:13" x14ac:dyDescent="0.15">
      <c r="A1" s="26">
        <v>1</v>
      </c>
      <c r="B1">
        <v>1600</v>
      </c>
      <c r="C1" s="9" t="s">
        <v>397</v>
      </c>
      <c r="F1" s="26">
        <v>1</v>
      </c>
      <c r="G1" s="26">
        <v>1600</v>
      </c>
      <c r="H1" s="9" t="s">
        <v>396</v>
      </c>
      <c r="K1">
        <v>1</v>
      </c>
      <c r="L1">
        <v>1600</v>
      </c>
      <c r="M1" t="s">
        <v>398</v>
      </c>
    </row>
    <row r="2" spans="1:13" x14ac:dyDescent="0.15">
      <c r="A2" s="26">
        <v>2</v>
      </c>
      <c r="B2">
        <v>1599</v>
      </c>
      <c r="C2" t="s">
        <v>394</v>
      </c>
      <c r="F2" s="26">
        <v>2</v>
      </c>
      <c r="G2" s="26">
        <v>1599</v>
      </c>
      <c r="H2" t="s">
        <v>394</v>
      </c>
      <c r="K2">
        <v>2</v>
      </c>
      <c r="L2">
        <v>1599</v>
      </c>
      <c r="M2" t="s">
        <v>399</v>
      </c>
    </row>
    <row r="3" spans="1:13" x14ac:dyDescent="0.15">
      <c r="A3" s="26">
        <v>3</v>
      </c>
      <c r="B3">
        <v>1599</v>
      </c>
      <c r="C3" t="s">
        <v>395</v>
      </c>
      <c r="F3" s="26">
        <v>3</v>
      </c>
      <c r="G3" s="26">
        <v>1599</v>
      </c>
      <c r="H3" s="9" t="s">
        <v>401</v>
      </c>
      <c r="K3">
        <v>3</v>
      </c>
      <c r="L3">
        <v>1599</v>
      </c>
      <c r="M3" t="s">
        <v>400</v>
      </c>
    </row>
    <row r="4" spans="1:13" x14ac:dyDescent="0.15">
      <c r="A4" s="26">
        <v>4</v>
      </c>
      <c r="B4">
        <v>1598</v>
      </c>
      <c r="F4" s="26">
        <v>4</v>
      </c>
      <c r="G4" s="26">
        <v>1599</v>
      </c>
      <c r="K4">
        <v>4</v>
      </c>
      <c r="L4">
        <v>1598</v>
      </c>
    </row>
    <row r="5" spans="1:13" x14ac:dyDescent="0.15">
      <c r="A5" s="26">
        <v>5</v>
      </c>
      <c r="B5">
        <v>1597</v>
      </c>
      <c r="F5" s="26">
        <v>5</v>
      </c>
      <c r="G5" s="26">
        <v>1598</v>
      </c>
      <c r="K5">
        <v>5</v>
      </c>
      <c r="L5">
        <v>1597</v>
      </c>
    </row>
    <row r="6" spans="1:13" x14ac:dyDescent="0.15">
      <c r="A6" s="26">
        <v>6</v>
      </c>
      <c r="B6">
        <v>1595</v>
      </c>
      <c r="F6" s="26">
        <v>6</v>
      </c>
      <c r="G6" s="26">
        <v>1596</v>
      </c>
      <c r="K6">
        <v>6</v>
      </c>
      <c r="L6">
        <v>1596</v>
      </c>
    </row>
    <row r="7" spans="1:13" x14ac:dyDescent="0.15">
      <c r="A7" s="26">
        <v>7</v>
      </c>
      <c r="B7">
        <v>1592</v>
      </c>
      <c r="F7" s="26">
        <v>7</v>
      </c>
      <c r="G7" s="26">
        <v>1593</v>
      </c>
      <c r="K7">
        <v>7</v>
      </c>
      <c r="L7">
        <v>1593</v>
      </c>
    </row>
    <row r="8" spans="1:13" x14ac:dyDescent="0.15">
      <c r="A8" s="26">
        <v>8</v>
      </c>
      <c r="B8">
        <v>1588</v>
      </c>
      <c r="F8" s="26">
        <v>8</v>
      </c>
      <c r="G8" s="26">
        <v>1589</v>
      </c>
      <c r="K8">
        <v>8</v>
      </c>
      <c r="L8">
        <v>1588</v>
      </c>
    </row>
    <row r="9" spans="1:13" x14ac:dyDescent="0.15">
      <c r="A9" s="26">
        <v>9</v>
      </c>
      <c r="B9">
        <v>1582</v>
      </c>
      <c r="F9" s="26">
        <v>9</v>
      </c>
      <c r="G9" s="26">
        <v>1582</v>
      </c>
      <c r="K9">
        <v>9</v>
      </c>
      <c r="L9">
        <v>1580</v>
      </c>
    </row>
    <row r="10" spans="1:13" x14ac:dyDescent="0.15">
      <c r="A10" s="26">
        <v>10</v>
      </c>
      <c r="B10">
        <v>1573</v>
      </c>
      <c r="F10" s="26">
        <v>10</v>
      </c>
      <c r="G10" s="26">
        <v>1572</v>
      </c>
      <c r="K10">
        <v>10</v>
      </c>
      <c r="L10">
        <v>1568</v>
      </c>
    </row>
    <row r="11" spans="1:13" x14ac:dyDescent="0.15">
      <c r="A11" s="26">
        <v>11</v>
      </c>
      <c r="B11">
        <v>1562</v>
      </c>
      <c r="F11" s="26">
        <v>11</v>
      </c>
      <c r="G11" s="26">
        <v>1554</v>
      </c>
      <c r="K11">
        <v>11</v>
      </c>
      <c r="L11">
        <v>1548</v>
      </c>
    </row>
    <row r="12" spans="1:13" x14ac:dyDescent="0.15">
      <c r="A12" s="26">
        <v>12</v>
      </c>
      <c r="B12">
        <v>1550</v>
      </c>
      <c r="F12" s="26">
        <v>12</v>
      </c>
      <c r="G12" s="26">
        <v>1528</v>
      </c>
      <c r="K12">
        <v>12</v>
      </c>
      <c r="L12">
        <v>1517</v>
      </c>
    </row>
    <row r="13" spans="1:13" x14ac:dyDescent="0.15">
      <c r="A13" s="26">
        <v>13</v>
      </c>
      <c r="B13">
        <v>1538</v>
      </c>
      <c r="F13" s="26">
        <v>13</v>
      </c>
      <c r="G13" s="26">
        <v>1491</v>
      </c>
      <c r="K13">
        <v>13</v>
      </c>
      <c r="L13">
        <v>1469</v>
      </c>
    </row>
    <row r="14" spans="1:13" x14ac:dyDescent="0.15">
      <c r="A14" s="26">
        <v>14</v>
      </c>
      <c r="B14">
        <v>1527</v>
      </c>
      <c r="F14" s="26">
        <v>14</v>
      </c>
      <c r="G14" s="26">
        <v>1439</v>
      </c>
      <c r="K14">
        <v>14</v>
      </c>
      <c r="L14">
        <v>1399</v>
      </c>
    </row>
    <row r="15" spans="1:13" x14ac:dyDescent="0.15">
      <c r="A15" s="26">
        <v>15</v>
      </c>
      <c r="B15">
        <v>1518</v>
      </c>
      <c r="F15" s="26">
        <v>15</v>
      </c>
      <c r="G15" s="26">
        <v>1373</v>
      </c>
      <c r="K15">
        <v>15</v>
      </c>
      <c r="L15">
        <v>1304</v>
      </c>
    </row>
    <row r="16" spans="1:13" x14ac:dyDescent="0.15">
      <c r="A16" s="26">
        <v>16</v>
      </c>
      <c r="B16">
        <v>1512</v>
      </c>
      <c r="F16" s="26">
        <v>16</v>
      </c>
      <c r="G16" s="26">
        <v>1300</v>
      </c>
      <c r="K16">
        <v>16</v>
      </c>
      <c r="L16">
        <v>1185</v>
      </c>
    </row>
    <row r="17" spans="1:12" x14ac:dyDescent="0.15">
      <c r="A17" s="26">
        <v>17</v>
      </c>
      <c r="B17">
        <v>1508</v>
      </c>
      <c r="F17" s="26">
        <v>17</v>
      </c>
      <c r="G17" s="26">
        <v>1227</v>
      </c>
      <c r="K17">
        <v>17</v>
      </c>
      <c r="L17">
        <v>1050</v>
      </c>
    </row>
    <row r="18" spans="1:12" x14ac:dyDescent="0.15">
      <c r="A18" s="26">
        <v>18</v>
      </c>
      <c r="B18">
        <v>1505</v>
      </c>
      <c r="F18" s="26">
        <v>18</v>
      </c>
      <c r="G18" s="26">
        <v>1161</v>
      </c>
      <c r="K18">
        <v>18</v>
      </c>
      <c r="L18">
        <v>915</v>
      </c>
    </row>
    <row r="19" spans="1:12" x14ac:dyDescent="0.15">
      <c r="A19" s="26">
        <v>19</v>
      </c>
      <c r="B19">
        <v>1503</v>
      </c>
      <c r="F19" s="26">
        <v>19</v>
      </c>
      <c r="G19" s="26">
        <v>1109</v>
      </c>
      <c r="K19">
        <v>19</v>
      </c>
      <c r="L19">
        <v>796</v>
      </c>
    </row>
    <row r="20" spans="1:12" x14ac:dyDescent="0.15">
      <c r="A20" s="26">
        <v>20</v>
      </c>
      <c r="B20">
        <v>1502</v>
      </c>
      <c r="F20" s="26">
        <v>20</v>
      </c>
      <c r="G20" s="26">
        <v>1072</v>
      </c>
      <c r="K20">
        <v>20</v>
      </c>
      <c r="L20">
        <v>701</v>
      </c>
    </row>
    <row r="21" spans="1:12" x14ac:dyDescent="0.15">
      <c r="A21" s="26">
        <v>21</v>
      </c>
      <c r="B21">
        <v>1501</v>
      </c>
      <c r="F21" s="26">
        <v>21</v>
      </c>
      <c r="G21" s="26">
        <v>1046</v>
      </c>
      <c r="K21">
        <v>21</v>
      </c>
      <c r="L21">
        <v>631</v>
      </c>
    </row>
    <row r="22" spans="1:12" x14ac:dyDescent="0.15">
      <c r="A22" s="26">
        <v>22</v>
      </c>
      <c r="B22">
        <v>1501</v>
      </c>
      <c r="F22" s="26">
        <v>22</v>
      </c>
      <c r="G22" s="26">
        <v>1028</v>
      </c>
      <c r="K22">
        <v>22</v>
      </c>
      <c r="L22">
        <v>583</v>
      </c>
    </row>
    <row r="23" spans="1:12" x14ac:dyDescent="0.15">
      <c r="A23" s="27">
        <v>23</v>
      </c>
      <c r="B23">
        <v>1501</v>
      </c>
      <c r="F23" s="26">
        <v>23</v>
      </c>
      <c r="G23" s="26">
        <v>1018</v>
      </c>
      <c r="K23">
        <v>23</v>
      </c>
      <c r="L23">
        <v>552</v>
      </c>
    </row>
    <row r="24" spans="1:12" x14ac:dyDescent="0.15">
      <c r="A24" s="27">
        <v>24</v>
      </c>
      <c r="B24">
        <v>1501</v>
      </c>
      <c r="F24" s="26">
        <v>24</v>
      </c>
      <c r="G24" s="26">
        <v>1011</v>
      </c>
      <c r="K24">
        <v>24</v>
      </c>
      <c r="L24">
        <v>532</v>
      </c>
    </row>
    <row r="25" spans="1:12" x14ac:dyDescent="0.15">
      <c r="A25" s="27">
        <v>25</v>
      </c>
      <c r="B25">
        <v>1502</v>
      </c>
      <c r="F25" s="26">
        <v>25</v>
      </c>
      <c r="G25" s="26">
        <v>1007</v>
      </c>
      <c r="K25">
        <v>25</v>
      </c>
      <c r="L25">
        <v>520</v>
      </c>
    </row>
    <row r="26" spans="1:12" x14ac:dyDescent="0.15">
      <c r="A26" s="27">
        <v>26</v>
      </c>
      <c r="B26">
        <v>1503</v>
      </c>
      <c r="F26" s="26">
        <v>26</v>
      </c>
      <c r="G26" s="26">
        <v>1004</v>
      </c>
      <c r="K26">
        <v>26</v>
      </c>
      <c r="L26">
        <v>512</v>
      </c>
    </row>
    <row r="27" spans="1:12" x14ac:dyDescent="0.15">
      <c r="A27" s="27">
        <v>27</v>
      </c>
      <c r="B27">
        <v>1505</v>
      </c>
      <c r="F27" s="26">
        <v>27</v>
      </c>
      <c r="G27" s="26">
        <v>1002</v>
      </c>
      <c r="K27">
        <v>27</v>
      </c>
      <c r="L27">
        <v>507</v>
      </c>
    </row>
    <row r="28" spans="1:12" x14ac:dyDescent="0.15">
      <c r="A28" s="27">
        <v>28</v>
      </c>
      <c r="B28">
        <v>1508</v>
      </c>
      <c r="F28" s="26">
        <v>28</v>
      </c>
      <c r="G28" s="26">
        <v>1001</v>
      </c>
      <c r="K28">
        <v>28</v>
      </c>
      <c r="L28">
        <v>504</v>
      </c>
    </row>
    <row r="29" spans="1:12" x14ac:dyDescent="0.15">
      <c r="A29" s="27">
        <v>29</v>
      </c>
      <c r="B29">
        <v>1512</v>
      </c>
      <c r="F29" s="26">
        <v>29</v>
      </c>
      <c r="G29" s="26">
        <v>1001</v>
      </c>
      <c r="K29">
        <v>29</v>
      </c>
      <c r="L29">
        <v>503</v>
      </c>
    </row>
    <row r="30" spans="1:12" x14ac:dyDescent="0.15">
      <c r="A30" s="27">
        <v>30</v>
      </c>
      <c r="B30">
        <v>1518</v>
      </c>
      <c r="F30" s="26">
        <v>30</v>
      </c>
      <c r="G30" s="26">
        <v>1001</v>
      </c>
      <c r="K30">
        <v>30</v>
      </c>
      <c r="L30">
        <v>502</v>
      </c>
    </row>
    <row r="31" spans="1:12" x14ac:dyDescent="0.15">
      <c r="A31" s="27">
        <v>31</v>
      </c>
      <c r="B31">
        <v>1527</v>
      </c>
      <c r="F31" s="27">
        <v>31</v>
      </c>
      <c r="G31">
        <v>1001</v>
      </c>
      <c r="K31">
        <v>31</v>
      </c>
      <c r="L31">
        <v>501</v>
      </c>
    </row>
    <row r="32" spans="1:12" x14ac:dyDescent="0.15">
      <c r="A32">
        <v>32</v>
      </c>
      <c r="B32">
        <v>1538</v>
      </c>
      <c r="F32" s="27">
        <v>32</v>
      </c>
      <c r="G32">
        <v>1001</v>
      </c>
      <c r="K32">
        <v>32</v>
      </c>
      <c r="L32">
        <v>501</v>
      </c>
    </row>
    <row r="33" spans="1:12" x14ac:dyDescent="0.15">
      <c r="A33">
        <v>33</v>
      </c>
      <c r="B33">
        <v>1550</v>
      </c>
      <c r="F33" s="27">
        <v>33</v>
      </c>
      <c r="G33">
        <v>1001</v>
      </c>
      <c r="K33">
        <v>33</v>
      </c>
      <c r="L33">
        <v>501</v>
      </c>
    </row>
    <row r="34" spans="1:12" x14ac:dyDescent="0.15">
      <c r="A34">
        <v>34</v>
      </c>
      <c r="B34">
        <v>1562</v>
      </c>
      <c r="F34" s="27">
        <v>34</v>
      </c>
      <c r="G34">
        <v>1002</v>
      </c>
      <c r="K34">
        <v>34</v>
      </c>
      <c r="L34">
        <v>501</v>
      </c>
    </row>
    <row r="35" spans="1:12" x14ac:dyDescent="0.15">
      <c r="A35">
        <v>35</v>
      </c>
      <c r="B35">
        <v>1573</v>
      </c>
      <c r="F35" s="27">
        <v>35</v>
      </c>
      <c r="G35">
        <v>1004</v>
      </c>
      <c r="K35">
        <v>35</v>
      </c>
      <c r="L35">
        <v>502</v>
      </c>
    </row>
    <row r="36" spans="1:12" x14ac:dyDescent="0.15">
      <c r="A36">
        <v>36</v>
      </c>
      <c r="B36">
        <v>1582</v>
      </c>
      <c r="F36" s="27">
        <v>36</v>
      </c>
      <c r="G36">
        <v>1007</v>
      </c>
      <c r="K36">
        <v>36</v>
      </c>
      <c r="L36">
        <v>503</v>
      </c>
    </row>
    <row r="37" spans="1:12" x14ac:dyDescent="0.15">
      <c r="A37">
        <v>37</v>
      </c>
      <c r="B37">
        <v>1588</v>
      </c>
      <c r="F37" s="27">
        <v>37</v>
      </c>
      <c r="G37">
        <v>1011</v>
      </c>
      <c r="K37">
        <v>37</v>
      </c>
      <c r="L37">
        <v>504</v>
      </c>
    </row>
    <row r="38" spans="1:12" x14ac:dyDescent="0.15">
      <c r="A38">
        <v>38</v>
      </c>
      <c r="B38">
        <v>1592</v>
      </c>
      <c r="F38" s="27">
        <v>38</v>
      </c>
      <c r="G38">
        <v>1018</v>
      </c>
      <c r="K38">
        <v>38</v>
      </c>
      <c r="L38">
        <v>507</v>
      </c>
    </row>
    <row r="39" spans="1:12" x14ac:dyDescent="0.15">
      <c r="A39">
        <v>39</v>
      </c>
      <c r="B39">
        <v>1595</v>
      </c>
      <c r="F39" s="27">
        <v>39</v>
      </c>
      <c r="G39">
        <v>1028</v>
      </c>
      <c r="K39">
        <v>39</v>
      </c>
      <c r="L39">
        <v>512</v>
      </c>
    </row>
    <row r="40" spans="1:12" x14ac:dyDescent="0.15">
      <c r="A40">
        <v>40</v>
      </c>
      <c r="B40">
        <v>1597</v>
      </c>
      <c r="F40" s="27">
        <v>40</v>
      </c>
      <c r="G40">
        <v>1046</v>
      </c>
      <c r="K40">
        <v>40</v>
      </c>
      <c r="L40">
        <v>520</v>
      </c>
    </row>
    <row r="41" spans="1:12" x14ac:dyDescent="0.15">
      <c r="A41">
        <v>41</v>
      </c>
      <c r="B41">
        <v>1598</v>
      </c>
      <c r="F41" s="27">
        <v>41</v>
      </c>
      <c r="G41">
        <v>1072</v>
      </c>
      <c r="K41">
        <v>41</v>
      </c>
      <c r="L41">
        <v>532</v>
      </c>
    </row>
    <row r="42" spans="1:12" x14ac:dyDescent="0.15">
      <c r="A42">
        <v>42</v>
      </c>
      <c r="B42">
        <v>1599</v>
      </c>
      <c r="F42" s="27">
        <v>42</v>
      </c>
      <c r="G42">
        <v>1109</v>
      </c>
      <c r="K42">
        <v>42</v>
      </c>
      <c r="L42">
        <v>552</v>
      </c>
    </row>
    <row r="43" spans="1:12" x14ac:dyDescent="0.15">
      <c r="A43">
        <v>43</v>
      </c>
      <c r="B43">
        <v>1599</v>
      </c>
      <c r="F43" s="27">
        <v>43</v>
      </c>
      <c r="G43">
        <v>1161</v>
      </c>
      <c r="K43">
        <v>43</v>
      </c>
      <c r="L43">
        <v>583</v>
      </c>
    </row>
    <row r="44" spans="1:12" x14ac:dyDescent="0.15">
      <c r="A44">
        <v>44</v>
      </c>
      <c r="B44">
        <v>1600</v>
      </c>
      <c r="F44" s="27">
        <v>44</v>
      </c>
      <c r="G44">
        <v>1227</v>
      </c>
      <c r="K44">
        <v>44</v>
      </c>
      <c r="L44">
        <v>631</v>
      </c>
    </row>
    <row r="45" spans="1:12" x14ac:dyDescent="0.15">
      <c r="F45" s="27">
        <v>45</v>
      </c>
      <c r="G45">
        <v>1300</v>
      </c>
      <c r="K45">
        <v>45</v>
      </c>
      <c r="L45">
        <v>701</v>
      </c>
    </row>
    <row r="46" spans="1:12" x14ac:dyDescent="0.15">
      <c r="F46" s="27">
        <v>46</v>
      </c>
      <c r="G46">
        <v>1373</v>
      </c>
      <c r="K46">
        <v>46</v>
      </c>
      <c r="L46">
        <v>796</v>
      </c>
    </row>
    <row r="47" spans="1:12" x14ac:dyDescent="0.15">
      <c r="F47" s="27">
        <v>47</v>
      </c>
      <c r="G47">
        <v>1439</v>
      </c>
      <c r="K47">
        <v>47</v>
      </c>
      <c r="L47">
        <v>915</v>
      </c>
    </row>
    <row r="48" spans="1:12" x14ac:dyDescent="0.15">
      <c r="F48" s="27">
        <v>48</v>
      </c>
      <c r="G48">
        <v>1491</v>
      </c>
      <c r="K48">
        <v>48</v>
      </c>
      <c r="L48">
        <v>1050</v>
      </c>
    </row>
    <row r="49" spans="6:12" x14ac:dyDescent="0.15">
      <c r="F49" s="27">
        <v>49</v>
      </c>
      <c r="G49">
        <v>1528</v>
      </c>
      <c r="K49">
        <v>49</v>
      </c>
      <c r="L49">
        <v>1185</v>
      </c>
    </row>
    <row r="50" spans="6:12" x14ac:dyDescent="0.15">
      <c r="F50" s="27">
        <v>50</v>
      </c>
      <c r="G50">
        <v>1554</v>
      </c>
      <c r="K50">
        <v>50</v>
      </c>
      <c r="L50">
        <v>1304</v>
      </c>
    </row>
    <row r="51" spans="6:12" x14ac:dyDescent="0.15">
      <c r="F51" s="27">
        <v>51</v>
      </c>
      <c r="G51">
        <v>1572</v>
      </c>
      <c r="K51">
        <v>51</v>
      </c>
      <c r="L51">
        <v>1399</v>
      </c>
    </row>
    <row r="52" spans="6:12" x14ac:dyDescent="0.15">
      <c r="F52" s="27">
        <v>52</v>
      </c>
      <c r="G52">
        <v>1582</v>
      </c>
      <c r="K52">
        <v>52</v>
      </c>
      <c r="L52">
        <v>1469</v>
      </c>
    </row>
    <row r="53" spans="6:12" x14ac:dyDescent="0.15">
      <c r="F53" s="27">
        <v>53</v>
      </c>
      <c r="G53">
        <v>1589</v>
      </c>
      <c r="K53">
        <v>53</v>
      </c>
      <c r="L53">
        <v>1517</v>
      </c>
    </row>
    <row r="54" spans="6:12" x14ac:dyDescent="0.15">
      <c r="F54" s="27">
        <v>54</v>
      </c>
      <c r="G54">
        <v>1593</v>
      </c>
      <c r="K54">
        <v>54</v>
      </c>
      <c r="L54">
        <v>1548</v>
      </c>
    </row>
    <row r="55" spans="6:12" x14ac:dyDescent="0.15">
      <c r="F55" s="27">
        <v>55</v>
      </c>
      <c r="G55">
        <v>1596</v>
      </c>
      <c r="K55">
        <v>55</v>
      </c>
      <c r="L55">
        <v>1568</v>
      </c>
    </row>
    <row r="56" spans="6:12" x14ac:dyDescent="0.15">
      <c r="F56" s="27">
        <v>56</v>
      </c>
      <c r="G56">
        <v>1598</v>
      </c>
      <c r="K56">
        <v>56</v>
      </c>
      <c r="L56">
        <v>1580</v>
      </c>
    </row>
    <row r="57" spans="6:12" x14ac:dyDescent="0.15">
      <c r="F57" s="27">
        <v>57</v>
      </c>
      <c r="G57">
        <v>1599</v>
      </c>
      <c r="K57">
        <v>57</v>
      </c>
      <c r="L57">
        <v>1588</v>
      </c>
    </row>
    <row r="58" spans="6:12" x14ac:dyDescent="0.15">
      <c r="F58" s="27">
        <v>58</v>
      </c>
      <c r="G58">
        <v>1599</v>
      </c>
      <c r="K58">
        <v>58</v>
      </c>
      <c r="L58">
        <v>1593</v>
      </c>
    </row>
    <row r="59" spans="6:12" x14ac:dyDescent="0.15">
      <c r="F59" s="27">
        <v>59</v>
      </c>
      <c r="G59">
        <v>1599</v>
      </c>
      <c r="K59">
        <v>59</v>
      </c>
      <c r="L59">
        <v>1596</v>
      </c>
    </row>
    <row r="60" spans="6:12" x14ac:dyDescent="0.15">
      <c r="F60" s="27">
        <v>60</v>
      </c>
      <c r="G60">
        <v>1600</v>
      </c>
      <c r="K60">
        <v>60</v>
      </c>
      <c r="L60">
        <v>1597</v>
      </c>
    </row>
    <row r="61" spans="6:12" x14ac:dyDescent="0.15">
      <c r="K61">
        <v>61</v>
      </c>
      <c r="L61">
        <v>1598</v>
      </c>
    </row>
    <row r="62" spans="6:12" x14ac:dyDescent="0.15">
      <c r="K62">
        <v>62</v>
      </c>
      <c r="L62">
        <v>1599</v>
      </c>
    </row>
    <row r="63" spans="6:12" x14ac:dyDescent="0.15">
      <c r="K63">
        <v>63</v>
      </c>
      <c r="L63">
        <v>1599</v>
      </c>
    </row>
    <row r="64" spans="6:12" x14ac:dyDescent="0.15">
      <c r="K64">
        <v>64</v>
      </c>
      <c r="L64">
        <v>1600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2"/>
  <sheetViews>
    <sheetView topLeftCell="A40" workbookViewId="0">
      <selection activeCell="L1" sqref="L1:L72"/>
    </sheetView>
  </sheetViews>
  <sheetFormatPr defaultRowHeight="14.25" x14ac:dyDescent="0.15"/>
  <cols>
    <col min="3" max="3" width="33.875" bestFit="1" customWidth="1"/>
    <col min="8" max="8" width="33.875" bestFit="1" customWidth="1"/>
  </cols>
  <sheetData>
    <row r="1" spans="1:13" x14ac:dyDescent="0.15">
      <c r="A1" s="26">
        <v>1</v>
      </c>
      <c r="B1" s="26">
        <v>3500</v>
      </c>
      <c r="C1" t="s">
        <v>405</v>
      </c>
      <c r="F1" s="26">
        <v>1</v>
      </c>
      <c r="G1" s="26">
        <v>3500</v>
      </c>
      <c r="H1" t="s">
        <v>407</v>
      </c>
      <c r="K1" s="26">
        <v>1</v>
      </c>
      <c r="L1" s="26">
        <v>3500</v>
      </c>
      <c r="M1" t="s">
        <v>410</v>
      </c>
    </row>
    <row r="2" spans="1:13" x14ac:dyDescent="0.15">
      <c r="A2" s="26">
        <v>2</v>
      </c>
      <c r="B2" s="26">
        <v>3499</v>
      </c>
      <c r="C2" s="9" t="s">
        <v>409</v>
      </c>
      <c r="F2" s="26">
        <v>2</v>
      </c>
      <c r="G2" s="26">
        <v>3499</v>
      </c>
      <c r="H2" t="s">
        <v>404</v>
      </c>
      <c r="K2" s="26">
        <v>2</v>
      </c>
      <c r="L2" s="26">
        <v>3499</v>
      </c>
      <c r="M2" t="s">
        <v>404</v>
      </c>
    </row>
    <row r="3" spans="1:13" x14ac:dyDescent="0.15">
      <c r="A3" s="26">
        <v>3</v>
      </c>
      <c r="B3" s="26">
        <v>3499</v>
      </c>
      <c r="C3" t="s">
        <v>406</v>
      </c>
      <c r="F3" s="26">
        <v>3</v>
      </c>
      <c r="G3" s="26">
        <v>3499</v>
      </c>
      <c r="H3" t="s">
        <v>408</v>
      </c>
      <c r="K3" s="26">
        <v>3</v>
      </c>
      <c r="L3" s="26">
        <v>3499</v>
      </c>
      <c r="M3" t="s">
        <v>411</v>
      </c>
    </row>
    <row r="4" spans="1:13" x14ac:dyDescent="0.15">
      <c r="A4" s="26">
        <v>4</v>
      </c>
      <c r="B4" s="26">
        <v>3498</v>
      </c>
      <c r="F4" s="26">
        <v>4</v>
      </c>
      <c r="G4" s="26">
        <v>3499</v>
      </c>
      <c r="K4" s="26">
        <v>4</v>
      </c>
      <c r="L4" s="26">
        <v>3499</v>
      </c>
    </row>
    <row r="5" spans="1:13" x14ac:dyDescent="0.15">
      <c r="A5" s="26">
        <v>5</v>
      </c>
      <c r="B5" s="26">
        <v>3497</v>
      </c>
      <c r="F5" s="26">
        <v>5</v>
      </c>
      <c r="G5" s="26">
        <v>3498</v>
      </c>
      <c r="K5" s="26">
        <v>5</v>
      </c>
      <c r="L5" s="26">
        <v>3498</v>
      </c>
    </row>
    <row r="6" spans="1:13" x14ac:dyDescent="0.15">
      <c r="A6" s="26">
        <v>6</v>
      </c>
      <c r="B6" s="26">
        <v>3495</v>
      </c>
      <c r="F6" s="26">
        <v>6</v>
      </c>
      <c r="G6" s="26">
        <v>3496</v>
      </c>
      <c r="K6" s="26">
        <v>6</v>
      </c>
      <c r="L6" s="26">
        <v>3496</v>
      </c>
    </row>
    <row r="7" spans="1:13" x14ac:dyDescent="0.15">
      <c r="A7" s="26">
        <v>7</v>
      </c>
      <c r="B7" s="26">
        <v>3491</v>
      </c>
      <c r="F7" s="26">
        <v>7</v>
      </c>
      <c r="G7" s="26">
        <v>3494</v>
      </c>
      <c r="K7" s="26">
        <v>7</v>
      </c>
      <c r="L7" s="26">
        <v>3494</v>
      </c>
    </row>
    <row r="8" spans="1:13" x14ac:dyDescent="0.15">
      <c r="A8" s="26">
        <v>8</v>
      </c>
      <c r="B8" s="26">
        <v>3485</v>
      </c>
      <c r="F8" s="26">
        <v>8</v>
      </c>
      <c r="G8" s="26">
        <v>3490</v>
      </c>
      <c r="K8" s="26">
        <v>8</v>
      </c>
      <c r="L8" s="26">
        <v>3490</v>
      </c>
    </row>
    <row r="9" spans="1:13" x14ac:dyDescent="0.15">
      <c r="A9" s="26">
        <v>9</v>
      </c>
      <c r="B9" s="26">
        <v>3476</v>
      </c>
      <c r="F9" s="26">
        <v>9</v>
      </c>
      <c r="G9" s="26">
        <v>3484</v>
      </c>
      <c r="K9" s="26">
        <v>9</v>
      </c>
      <c r="L9" s="26">
        <v>3483</v>
      </c>
    </row>
    <row r="10" spans="1:13" x14ac:dyDescent="0.15">
      <c r="A10" s="26">
        <v>10</v>
      </c>
      <c r="B10" s="26">
        <v>3462</v>
      </c>
      <c r="F10" s="26">
        <v>10</v>
      </c>
      <c r="G10" s="26">
        <v>3473</v>
      </c>
      <c r="K10" s="26">
        <v>10</v>
      </c>
      <c r="L10" s="26">
        <v>3473</v>
      </c>
    </row>
    <row r="11" spans="1:13" x14ac:dyDescent="0.15">
      <c r="A11" s="26">
        <v>11</v>
      </c>
      <c r="B11" s="26">
        <v>3440</v>
      </c>
      <c r="F11" s="26">
        <v>11</v>
      </c>
      <c r="G11" s="26">
        <v>3456</v>
      </c>
      <c r="K11" s="26">
        <v>11</v>
      </c>
      <c r="L11" s="26">
        <v>3455</v>
      </c>
    </row>
    <row r="12" spans="1:13" x14ac:dyDescent="0.15">
      <c r="A12" s="26">
        <v>12</v>
      </c>
      <c r="B12" s="26">
        <v>3409</v>
      </c>
      <c r="F12" s="26">
        <v>12</v>
      </c>
      <c r="G12" s="26">
        <v>3429</v>
      </c>
      <c r="K12" s="26">
        <v>12</v>
      </c>
      <c r="L12" s="26">
        <v>3427</v>
      </c>
    </row>
    <row r="13" spans="1:13" x14ac:dyDescent="0.15">
      <c r="A13" s="26">
        <v>13</v>
      </c>
      <c r="B13" s="26">
        <v>3366</v>
      </c>
      <c r="F13" s="26">
        <v>13</v>
      </c>
      <c r="G13" s="26">
        <v>3386</v>
      </c>
      <c r="K13" s="26">
        <v>13</v>
      </c>
      <c r="L13" s="26">
        <v>3381</v>
      </c>
    </row>
    <row r="14" spans="1:13" x14ac:dyDescent="0.15">
      <c r="A14" s="26">
        <v>14</v>
      </c>
      <c r="B14" s="26">
        <v>3311</v>
      </c>
      <c r="F14" s="26">
        <v>14</v>
      </c>
      <c r="G14" s="26">
        <v>3321</v>
      </c>
      <c r="K14" s="26">
        <v>14</v>
      </c>
      <c r="L14" s="26">
        <v>3310</v>
      </c>
    </row>
    <row r="15" spans="1:13" x14ac:dyDescent="0.15">
      <c r="A15" s="26">
        <v>15</v>
      </c>
      <c r="B15" s="26">
        <v>3250</v>
      </c>
      <c r="F15" s="26">
        <v>15</v>
      </c>
      <c r="G15" s="26">
        <v>3226</v>
      </c>
      <c r="K15" s="26">
        <v>15</v>
      </c>
      <c r="L15" s="26">
        <v>3202</v>
      </c>
    </row>
    <row r="16" spans="1:13" x14ac:dyDescent="0.15">
      <c r="A16" s="26">
        <v>16</v>
      </c>
      <c r="B16" s="26">
        <v>3189</v>
      </c>
      <c r="F16" s="26">
        <v>16</v>
      </c>
      <c r="G16" s="26">
        <v>3097</v>
      </c>
      <c r="K16" s="26">
        <v>16</v>
      </c>
      <c r="L16" s="26">
        <v>3044</v>
      </c>
    </row>
    <row r="17" spans="1:12" x14ac:dyDescent="0.15">
      <c r="A17" s="26">
        <v>17</v>
      </c>
      <c r="B17" s="26">
        <v>3134</v>
      </c>
      <c r="F17" s="26">
        <v>17</v>
      </c>
      <c r="G17" s="26">
        <v>2934</v>
      </c>
      <c r="K17" s="26">
        <v>17</v>
      </c>
      <c r="L17" s="26">
        <v>2828</v>
      </c>
    </row>
    <row r="18" spans="1:12" x14ac:dyDescent="0.15">
      <c r="A18" s="26">
        <v>18</v>
      </c>
      <c r="B18" s="26">
        <v>3091</v>
      </c>
      <c r="F18" s="26">
        <v>18</v>
      </c>
      <c r="G18" s="26">
        <v>2750</v>
      </c>
      <c r="K18" s="26">
        <v>18</v>
      </c>
      <c r="L18" s="26">
        <v>2556</v>
      </c>
    </row>
    <row r="19" spans="1:12" x14ac:dyDescent="0.15">
      <c r="A19" s="26">
        <v>19</v>
      </c>
      <c r="B19" s="26">
        <v>3060</v>
      </c>
      <c r="F19" s="26">
        <v>19</v>
      </c>
      <c r="G19" s="26">
        <v>2566</v>
      </c>
      <c r="K19" s="26">
        <v>19</v>
      </c>
      <c r="L19" s="26">
        <v>2250</v>
      </c>
    </row>
    <row r="20" spans="1:12" x14ac:dyDescent="0.15">
      <c r="A20" s="26">
        <v>20</v>
      </c>
      <c r="B20" s="26">
        <v>3038</v>
      </c>
      <c r="F20" s="26">
        <v>20</v>
      </c>
      <c r="G20" s="26">
        <v>2403</v>
      </c>
      <c r="K20" s="26">
        <v>20</v>
      </c>
      <c r="L20" s="26">
        <v>1944</v>
      </c>
    </row>
    <row r="21" spans="1:12" x14ac:dyDescent="0.15">
      <c r="A21" s="26">
        <v>21</v>
      </c>
      <c r="B21" s="26">
        <v>3024</v>
      </c>
      <c r="F21" s="26">
        <v>21</v>
      </c>
      <c r="G21" s="26">
        <v>2274</v>
      </c>
      <c r="K21" s="26">
        <v>21</v>
      </c>
      <c r="L21" s="26">
        <v>1672</v>
      </c>
    </row>
    <row r="22" spans="1:12" x14ac:dyDescent="0.15">
      <c r="A22" s="26">
        <v>22</v>
      </c>
      <c r="B22" s="26">
        <v>3015</v>
      </c>
      <c r="F22" s="26">
        <v>22</v>
      </c>
      <c r="G22" s="26">
        <v>2179</v>
      </c>
      <c r="K22" s="26">
        <v>22</v>
      </c>
      <c r="L22" s="26">
        <v>1456</v>
      </c>
    </row>
    <row r="23" spans="1:12" x14ac:dyDescent="0.15">
      <c r="A23" s="26">
        <v>23</v>
      </c>
      <c r="B23" s="26">
        <v>3009</v>
      </c>
      <c r="F23" s="26">
        <v>23</v>
      </c>
      <c r="G23" s="26">
        <v>2114</v>
      </c>
      <c r="K23" s="26">
        <v>23</v>
      </c>
      <c r="L23" s="26">
        <v>1298</v>
      </c>
    </row>
    <row r="24" spans="1:12" x14ac:dyDescent="0.15">
      <c r="A24" s="26">
        <v>24</v>
      </c>
      <c r="B24" s="26">
        <v>3005</v>
      </c>
      <c r="F24" s="26">
        <v>24</v>
      </c>
      <c r="G24" s="26">
        <v>2071</v>
      </c>
      <c r="K24" s="26">
        <v>24</v>
      </c>
      <c r="L24" s="26">
        <v>1190</v>
      </c>
    </row>
    <row r="25" spans="1:12" x14ac:dyDescent="0.15">
      <c r="A25" s="26">
        <v>25</v>
      </c>
      <c r="B25" s="26">
        <v>3003</v>
      </c>
      <c r="F25" s="26">
        <v>25</v>
      </c>
      <c r="G25" s="26">
        <v>2044</v>
      </c>
      <c r="K25" s="26">
        <v>25</v>
      </c>
      <c r="L25" s="26">
        <v>1119</v>
      </c>
    </row>
    <row r="26" spans="1:12" x14ac:dyDescent="0.15">
      <c r="A26" s="26">
        <v>26</v>
      </c>
      <c r="B26" s="26">
        <v>3002</v>
      </c>
      <c r="F26" s="26">
        <v>26</v>
      </c>
      <c r="G26" s="26">
        <v>2027</v>
      </c>
      <c r="K26" s="26">
        <v>26</v>
      </c>
      <c r="L26" s="26">
        <v>1073</v>
      </c>
    </row>
    <row r="27" spans="1:12" x14ac:dyDescent="0.15">
      <c r="A27" s="26">
        <v>27</v>
      </c>
      <c r="B27" s="26">
        <v>3001</v>
      </c>
      <c r="F27" s="26">
        <v>27</v>
      </c>
      <c r="G27" s="26">
        <v>2016</v>
      </c>
      <c r="K27" s="26">
        <v>27</v>
      </c>
      <c r="L27" s="26">
        <v>1045</v>
      </c>
    </row>
    <row r="28" spans="1:12" x14ac:dyDescent="0.15">
      <c r="A28" s="26">
        <v>28</v>
      </c>
      <c r="B28" s="26">
        <v>3001</v>
      </c>
      <c r="F28" s="26">
        <v>28</v>
      </c>
      <c r="G28" s="26">
        <v>2010</v>
      </c>
      <c r="K28" s="26">
        <v>28</v>
      </c>
      <c r="L28" s="26">
        <v>1027</v>
      </c>
    </row>
    <row r="29" spans="1:12" x14ac:dyDescent="0.15">
      <c r="A29">
        <v>29</v>
      </c>
      <c r="B29">
        <v>3001</v>
      </c>
      <c r="F29" s="26">
        <v>29</v>
      </c>
      <c r="G29" s="26">
        <v>2006</v>
      </c>
      <c r="K29" s="26">
        <v>29</v>
      </c>
      <c r="L29" s="26">
        <v>1017</v>
      </c>
    </row>
    <row r="30" spans="1:12" x14ac:dyDescent="0.15">
      <c r="A30">
        <v>30</v>
      </c>
      <c r="B30">
        <v>3001</v>
      </c>
      <c r="F30" s="26">
        <v>30</v>
      </c>
      <c r="G30" s="26">
        <v>2004</v>
      </c>
      <c r="K30" s="26">
        <v>30</v>
      </c>
      <c r="L30" s="26">
        <v>1010</v>
      </c>
    </row>
    <row r="31" spans="1:12" x14ac:dyDescent="0.15">
      <c r="A31">
        <v>31</v>
      </c>
      <c r="B31">
        <v>3002</v>
      </c>
      <c r="F31" s="26">
        <v>31</v>
      </c>
      <c r="G31" s="26">
        <v>2002</v>
      </c>
      <c r="K31" s="26">
        <v>31</v>
      </c>
      <c r="L31" s="26">
        <v>1006</v>
      </c>
    </row>
    <row r="32" spans="1:12" x14ac:dyDescent="0.15">
      <c r="A32">
        <v>32</v>
      </c>
      <c r="B32">
        <v>3003</v>
      </c>
      <c r="F32" s="26">
        <v>32</v>
      </c>
      <c r="G32" s="26">
        <v>2001</v>
      </c>
      <c r="K32" s="26">
        <v>32</v>
      </c>
      <c r="L32" s="26">
        <v>1004</v>
      </c>
    </row>
    <row r="33" spans="1:12" x14ac:dyDescent="0.15">
      <c r="A33">
        <v>33</v>
      </c>
      <c r="B33">
        <v>3005</v>
      </c>
      <c r="F33" s="26">
        <v>33</v>
      </c>
      <c r="G33" s="26">
        <v>2001</v>
      </c>
      <c r="K33" s="26">
        <v>33</v>
      </c>
      <c r="L33" s="26">
        <v>1002</v>
      </c>
    </row>
    <row r="34" spans="1:12" x14ac:dyDescent="0.15">
      <c r="A34">
        <v>34</v>
      </c>
      <c r="B34">
        <v>3009</v>
      </c>
      <c r="F34" s="26">
        <v>34</v>
      </c>
      <c r="G34" s="26">
        <v>2001</v>
      </c>
      <c r="K34" s="26">
        <v>34</v>
      </c>
      <c r="L34" s="26">
        <v>1001</v>
      </c>
    </row>
    <row r="35" spans="1:12" x14ac:dyDescent="0.15">
      <c r="A35">
        <v>35</v>
      </c>
      <c r="B35">
        <v>3015</v>
      </c>
      <c r="F35">
        <v>35</v>
      </c>
      <c r="G35">
        <v>2001</v>
      </c>
      <c r="K35" s="26">
        <v>35</v>
      </c>
      <c r="L35" s="26">
        <v>1001</v>
      </c>
    </row>
    <row r="36" spans="1:12" x14ac:dyDescent="0.15">
      <c r="A36">
        <v>36</v>
      </c>
      <c r="B36">
        <v>3024</v>
      </c>
      <c r="F36">
        <v>36</v>
      </c>
      <c r="G36">
        <v>2001</v>
      </c>
      <c r="K36" s="26">
        <v>36</v>
      </c>
      <c r="L36" s="26">
        <v>1001</v>
      </c>
    </row>
    <row r="37" spans="1:12" x14ac:dyDescent="0.15">
      <c r="A37">
        <v>37</v>
      </c>
      <c r="B37">
        <v>3038</v>
      </c>
      <c r="F37">
        <v>37</v>
      </c>
      <c r="G37">
        <v>2001</v>
      </c>
      <c r="K37">
        <v>37</v>
      </c>
      <c r="L37">
        <v>1001</v>
      </c>
    </row>
    <row r="38" spans="1:12" x14ac:dyDescent="0.15">
      <c r="A38">
        <v>38</v>
      </c>
      <c r="B38">
        <v>3060</v>
      </c>
      <c r="F38">
        <v>38</v>
      </c>
      <c r="G38">
        <v>2002</v>
      </c>
      <c r="K38">
        <v>38</v>
      </c>
      <c r="L38">
        <v>1001</v>
      </c>
    </row>
    <row r="39" spans="1:12" x14ac:dyDescent="0.15">
      <c r="A39">
        <v>39</v>
      </c>
      <c r="B39">
        <v>3091</v>
      </c>
      <c r="F39">
        <v>39</v>
      </c>
      <c r="G39">
        <v>2004</v>
      </c>
      <c r="K39">
        <v>39</v>
      </c>
      <c r="L39">
        <v>1001</v>
      </c>
    </row>
    <row r="40" spans="1:12" x14ac:dyDescent="0.15">
      <c r="A40">
        <v>40</v>
      </c>
      <c r="B40">
        <v>3134</v>
      </c>
      <c r="F40">
        <v>40</v>
      </c>
      <c r="G40">
        <v>2006</v>
      </c>
      <c r="K40">
        <v>40</v>
      </c>
      <c r="L40">
        <v>1002</v>
      </c>
    </row>
    <row r="41" spans="1:12" x14ac:dyDescent="0.15">
      <c r="A41">
        <v>41</v>
      </c>
      <c r="B41">
        <v>3189</v>
      </c>
      <c r="F41">
        <v>41</v>
      </c>
      <c r="G41">
        <v>2010</v>
      </c>
      <c r="K41">
        <v>41</v>
      </c>
      <c r="L41">
        <v>1004</v>
      </c>
    </row>
    <row r="42" spans="1:12" x14ac:dyDescent="0.15">
      <c r="A42">
        <v>42</v>
      </c>
      <c r="B42">
        <v>3250</v>
      </c>
      <c r="F42">
        <v>42</v>
      </c>
      <c r="G42">
        <v>2016</v>
      </c>
      <c r="K42">
        <v>42</v>
      </c>
      <c r="L42">
        <v>1006</v>
      </c>
    </row>
    <row r="43" spans="1:12" x14ac:dyDescent="0.15">
      <c r="A43">
        <v>43</v>
      </c>
      <c r="B43">
        <v>3311</v>
      </c>
      <c r="F43">
        <v>43</v>
      </c>
      <c r="G43">
        <v>2027</v>
      </c>
      <c r="K43">
        <v>43</v>
      </c>
      <c r="L43">
        <v>1010</v>
      </c>
    </row>
    <row r="44" spans="1:12" x14ac:dyDescent="0.15">
      <c r="A44">
        <v>44</v>
      </c>
      <c r="B44">
        <v>3366</v>
      </c>
      <c r="F44">
        <v>44</v>
      </c>
      <c r="G44">
        <v>2044</v>
      </c>
      <c r="K44">
        <v>44</v>
      </c>
      <c r="L44">
        <v>1017</v>
      </c>
    </row>
    <row r="45" spans="1:12" x14ac:dyDescent="0.15">
      <c r="A45">
        <v>45</v>
      </c>
      <c r="B45">
        <v>3409</v>
      </c>
      <c r="F45">
        <v>45</v>
      </c>
      <c r="G45">
        <v>2071</v>
      </c>
      <c r="K45">
        <v>45</v>
      </c>
      <c r="L45">
        <v>1027</v>
      </c>
    </row>
    <row r="46" spans="1:12" x14ac:dyDescent="0.15">
      <c r="A46">
        <v>46</v>
      </c>
      <c r="B46">
        <v>3440</v>
      </c>
      <c r="F46">
        <v>46</v>
      </c>
      <c r="G46">
        <v>2114</v>
      </c>
      <c r="K46">
        <v>46</v>
      </c>
      <c r="L46">
        <v>1045</v>
      </c>
    </row>
    <row r="47" spans="1:12" x14ac:dyDescent="0.15">
      <c r="A47">
        <v>47</v>
      </c>
      <c r="B47">
        <v>3462</v>
      </c>
      <c r="F47">
        <v>47</v>
      </c>
      <c r="G47">
        <v>2179</v>
      </c>
      <c r="K47">
        <v>47</v>
      </c>
      <c r="L47">
        <v>1073</v>
      </c>
    </row>
    <row r="48" spans="1:12" x14ac:dyDescent="0.15">
      <c r="A48">
        <v>48</v>
      </c>
      <c r="B48">
        <v>3476</v>
      </c>
      <c r="F48">
        <v>48</v>
      </c>
      <c r="G48">
        <v>2274</v>
      </c>
      <c r="K48">
        <v>48</v>
      </c>
      <c r="L48">
        <v>1119</v>
      </c>
    </row>
    <row r="49" spans="1:12" x14ac:dyDescent="0.15">
      <c r="A49">
        <v>49</v>
      </c>
      <c r="B49">
        <v>3485</v>
      </c>
      <c r="F49">
        <v>49</v>
      </c>
      <c r="G49">
        <v>2403</v>
      </c>
      <c r="K49">
        <v>49</v>
      </c>
      <c r="L49">
        <v>1190</v>
      </c>
    </row>
    <row r="50" spans="1:12" x14ac:dyDescent="0.15">
      <c r="A50">
        <v>50</v>
      </c>
      <c r="B50">
        <v>3491</v>
      </c>
      <c r="F50">
        <v>50</v>
      </c>
      <c r="G50">
        <v>2566</v>
      </c>
      <c r="K50">
        <v>50</v>
      </c>
      <c r="L50">
        <v>1298</v>
      </c>
    </row>
    <row r="51" spans="1:12" x14ac:dyDescent="0.15">
      <c r="A51">
        <v>51</v>
      </c>
      <c r="B51">
        <v>3495</v>
      </c>
      <c r="F51">
        <v>51</v>
      </c>
      <c r="G51">
        <v>2750</v>
      </c>
      <c r="K51">
        <v>51</v>
      </c>
      <c r="L51">
        <v>1456</v>
      </c>
    </row>
    <row r="52" spans="1:12" x14ac:dyDescent="0.15">
      <c r="A52">
        <v>52</v>
      </c>
      <c r="B52">
        <v>3497</v>
      </c>
      <c r="F52">
        <v>52</v>
      </c>
      <c r="G52">
        <v>2934</v>
      </c>
      <c r="K52">
        <v>52</v>
      </c>
      <c r="L52">
        <v>1672</v>
      </c>
    </row>
    <row r="53" spans="1:12" x14ac:dyDescent="0.15">
      <c r="A53">
        <v>53</v>
      </c>
      <c r="B53">
        <v>3498</v>
      </c>
      <c r="F53">
        <v>53</v>
      </c>
      <c r="G53">
        <v>3097</v>
      </c>
      <c r="K53">
        <v>53</v>
      </c>
      <c r="L53">
        <v>1944</v>
      </c>
    </row>
    <row r="54" spans="1:12" x14ac:dyDescent="0.15">
      <c r="A54">
        <v>54</v>
      </c>
      <c r="B54">
        <v>3499</v>
      </c>
      <c r="F54">
        <v>54</v>
      </c>
      <c r="G54">
        <v>3226</v>
      </c>
      <c r="K54">
        <v>54</v>
      </c>
      <c r="L54">
        <v>2250</v>
      </c>
    </row>
    <row r="55" spans="1:12" x14ac:dyDescent="0.15">
      <c r="A55">
        <v>55</v>
      </c>
      <c r="B55">
        <v>3499</v>
      </c>
      <c r="F55">
        <v>55</v>
      </c>
      <c r="G55">
        <v>3321</v>
      </c>
      <c r="K55">
        <v>55</v>
      </c>
      <c r="L55">
        <v>2556</v>
      </c>
    </row>
    <row r="56" spans="1:12" x14ac:dyDescent="0.15">
      <c r="A56">
        <v>56</v>
      </c>
      <c r="B56">
        <v>3500</v>
      </c>
      <c r="F56">
        <v>56</v>
      </c>
      <c r="G56">
        <v>3386</v>
      </c>
      <c r="K56">
        <v>56</v>
      </c>
      <c r="L56">
        <v>2828</v>
      </c>
    </row>
    <row r="57" spans="1:12" x14ac:dyDescent="0.15">
      <c r="F57">
        <v>57</v>
      </c>
      <c r="G57">
        <v>3429</v>
      </c>
      <c r="K57">
        <v>57</v>
      </c>
      <c r="L57">
        <v>3044</v>
      </c>
    </row>
    <row r="58" spans="1:12" x14ac:dyDescent="0.15">
      <c r="F58">
        <v>58</v>
      </c>
      <c r="G58">
        <v>3456</v>
      </c>
      <c r="K58">
        <v>58</v>
      </c>
      <c r="L58">
        <v>3202</v>
      </c>
    </row>
    <row r="59" spans="1:12" x14ac:dyDescent="0.15">
      <c r="F59">
        <v>59</v>
      </c>
      <c r="G59">
        <v>3473</v>
      </c>
      <c r="K59">
        <v>59</v>
      </c>
      <c r="L59">
        <v>3310</v>
      </c>
    </row>
    <row r="60" spans="1:12" x14ac:dyDescent="0.15">
      <c r="F60">
        <v>60</v>
      </c>
      <c r="G60">
        <v>3484</v>
      </c>
      <c r="K60">
        <v>60</v>
      </c>
      <c r="L60">
        <v>3381</v>
      </c>
    </row>
    <row r="61" spans="1:12" x14ac:dyDescent="0.15">
      <c r="F61">
        <v>61</v>
      </c>
      <c r="G61">
        <v>3490</v>
      </c>
      <c r="K61">
        <v>61</v>
      </c>
      <c r="L61">
        <v>3427</v>
      </c>
    </row>
    <row r="62" spans="1:12" x14ac:dyDescent="0.15">
      <c r="F62">
        <v>62</v>
      </c>
      <c r="G62">
        <v>3494</v>
      </c>
      <c r="K62">
        <v>62</v>
      </c>
      <c r="L62">
        <v>3455</v>
      </c>
    </row>
    <row r="63" spans="1:12" x14ac:dyDescent="0.15">
      <c r="F63">
        <v>63</v>
      </c>
      <c r="G63">
        <v>3496</v>
      </c>
      <c r="K63">
        <v>63</v>
      </c>
      <c r="L63">
        <v>3473</v>
      </c>
    </row>
    <row r="64" spans="1:12" x14ac:dyDescent="0.15">
      <c r="F64">
        <v>64</v>
      </c>
      <c r="G64">
        <v>3498</v>
      </c>
      <c r="K64">
        <v>64</v>
      </c>
      <c r="L64">
        <v>3483</v>
      </c>
    </row>
    <row r="65" spans="6:12" x14ac:dyDescent="0.15">
      <c r="F65">
        <v>65</v>
      </c>
      <c r="G65">
        <v>3499</v>
      </c>
      <c r="K65">
        <v>65</v>
      </c>
      <c r="L65">
        <v>3490</v>
      </c>
    </row>
    <row r="66" spans="6:12" x14ac:dyDescent="0.15">
      <c r="F66">
        <v>66</v>
      </c>
      <c r="G66">
        <v>3499</v>
      </c>
      <c r="K66">
        <v>66</v>
      </c>
      <c r="L66">
        <v>3494</v>
      </c>
    </row>
    <row r="67" spans="6:12" x14ac:dyDescent="0.15">
      <c r="F67">
        <v>67</v>
      </c>
      <c r="G67">
        <v>3499</v>
      </c>
      <c r="K67">
        <v>67</v>
      </c>
      <c r="L67">
        <v>3496</v>
      </c>
    </row>
    <row r="68" spans="6:12" x14ac:dyDescent="0.15">
      <c r="F68">
        <v>68</v>
      </c>
      <c r="G68">
        <v>3500</v>
      </c>
      <c r="K68">
        <v>68</v>
      </c>
      <c r="L68">
        <v>3498</v>
      </c>
    </row>
    <row r="69" spans="6:12" x14ac:dyDescent="0.15">
      <c r="K69">
        <v>69</v>
      </c>
      <c r="L69">
        <v>3499</v>
      </c>
    </row>
    <row r="70" spans="6:12" x14ac:dyDescent="0.15">
      <c r="K70">
        <v>70</v>
      </c>
      <c r="L70">
        <v>3499</v>
      </c>
    </row>
    <row r="71" spans="6:12" x14ac:dyDescent="0.15">
      <c r="K71">
        <v>71</v>
      </c>
      <c r="L71">
        <v>3499</v>
      </c>
    </row>
    <row r="72" spans="6:12" x14ac:dyDescent="0.15">
      <c r="K72">
        <v>72</v>
      </c>
      <c r="L72">
        <v>3500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stepmoto1</vt:lpstr>
      <vt:lpstr>Sheet1</vt:lpstr>
      <vt:lpstr>横向运动</vt:lpstr>
      <vt:lpstr>上下运动</vt:lpstr>
      <vt:lpstr>注射器1</vt:lpstr>
      <vt:lpstr>注射器2</vt:lpstr>
      <vt:lpstr>蠕动泵1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fanjy</dc:creator>
  <cp:lastModifiedBy>admin</cp:lastModifiedBy>
  <dcterms:created xsi:type="dcterms:W3CDTF">2006-07-01T08:38:56Z</dcterms:created>
  <dcterms:modified xsi:type="dcterms:W3CDTF">2018-03-14T03:24:43Z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